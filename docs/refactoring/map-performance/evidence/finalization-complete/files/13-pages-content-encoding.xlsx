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통계표" sheetId="1" r:id="rId1"/>
    <sheet name="차트" sheetId="2" r:id="rId4"/>
    <sheet name="차트 데이터" sheetId="3" r:id="rId5"/>
    <sheet name="조회 조건" sheetId="4" r:id="rId6"/>
  </sheets>
  <calcPr calcId="122211" fullCalcOnLoad="true"/>
</workbook>
</file>

<file path=xl/sharedStrings.xml><?xml version="1.0" encoding="utf-8"?>
<sst xmlns="http://schemas.openxmlformats.org/spreadsheetml/2006/main" count="149" uniqueCount="149">
  <si>
    <t>맞춤 통계 · 기관 × 위반법규 · 과태료 부과율, 답변 건수</t>
  </si>
  <si>
    <t>2026-10-04 01:34:12 (한국 시간)에 내려받은 결과입니다. 조건은 ‘조회 조건’ 시트에 있습니다.</t>
  </si>
  <si>
    <t/>
  </si>
  <si>
    <t>기관</t>
  </si>
  <si>
    <t>도로교통법 제32조</t>
  </si>
  <si>
    <t>과태료 부과율</t>
  </si>
  <si>
    <t>도로교통법 제32조 · 과태료 부과율 · 비율</t>
  </si>
  <si>
    <t>도로교통법 제32조 · 과태료 부과율 · 해당 건수</t>
  </si>
  <si>
    <t>도로교통법 제32조 · 과태료 부과율 · 기준 건수</t>
  </si>
  <si>
    <t>답변 건수</t>
  </si>
  <si>
    <t>도로교통법 제32조 · 답변 건수 · 값</t>
  </si>
  <si>
    <t>도로교통법 제32조 · 답변 건수 · 합계</t>
  </si>
  <si>
    <t>도로교통법 제5조</t>
  </si>
  <si>
    <t>도로교통법 제5조 · 과태료 부과율 · 비율</t>
  </si>
  <si>
    <t>도로교통법 제5조 · 과태료 부과율 · 해당 건수</t>
  </si>
  <si>
    <t>도로교통법 제5조 · 과태료 부과율 · 기준 건수</t>
  </si>
  <si>
    <t>도로교통법 제5조 · 답변 건수 · 값</t>
  </si>
  <si>
    <t>도로교통법 제5조 · 답변 건수 · 합계</t>
  </si>
  <si>
    <t>도로교통법 제33조</t>
  </si>
  <si>
    <t>도로교통법 제33조 · 과태료 부과율 · 비율</t>
  </si>
  <si>
    <t>도로교통법 제33조 · 과태료 부과율 · 해당 건수</t>
  </si>
  <si>
    <t>도로교통법 제33조 · 과태료 부과율 · 기준 건수</t>
  </si>
  <si>
    <t>도로교통법 제33조 · 답변 건수 · 값</t>
  </si>
  <si>
    <t>도로교통법 제33조 · 답변 건수 · 합계</t>
  </si>
  <si>
    <t>도로교통법 제27조</t>
  </si>
  <si>
    <t>도로교통법 제27조 · 과태료 부과율 · 비율</t>
  </si>
  <si>
    <t>도로교통법 제27조 · 과태료 부과율 · 해당 건수</t>
  </si>
  <si>
    <t>도로교통법 제27조 · 과태료 부과율 · 기준 건수</t>
  </si>
  <si>
    <t>도로교통법 제27조 · 답변 건수 · 값</t>
  </si>
  <si>
    <t>도로교통법 제27조 · 답변 건수 · 합계</t>
  </si>
  <si>
    <t>도로교통법 제34조</t>
  </si>
  <si>
    <t>도로교통법 제34조 · 과태료 부과율 · 비율</t>
  </si>
  <si>
    <t>도로교통법 제34조 · 과태료 부과율 · 해당 건수</t>
  </si>
  <si>
    <t>도로교통법 제34조 · 과태료 부과율 · 기준 건수</t>
  </si>
  <si>
    <t>도로교통법 제34조 · 답변 건수 · 값</t>
  </si>
  <si>
    <t>도로교통법 제34조 · 답변 건수 · 합계</t>
  </si>
  <si>
    <t>도로교통법 제35조</t>
  </si>
  <si>
    <t>도로교통법 제35조 · 과태료 부과율 · 비율</t>
  </si>
  <si>
    <t>도로교통법 제35조 · 과태료 부과율 · 해당 건수</t>
  </si>
  <si>
    <t>도로교통법 제35조 · 과태료 부과율 · 기준 건수</t>
  </si>
  <si>
    <t>도로교통법 제35조 · 답변 건수 · 값</t>
  </si>
  <si>
    <t>도로교통법 제35조 · 답변 건수 · 합계</t>
  </si>
  <si>
    <t>자동차관리법 제10조</t>
  </si>
  <si>
    <t>자동차관리법 제10조 · 과태료 부과율 · 비율</t>
  </si>
  <si>
    <t>자동차관리법 제10조 · 과태료 부과율 · 해당 건수</t>
  </si>
  <si>
    <t>자동차관리법 제10조 · 과태료 부과율 · 기준 건수</t>
  </si>
  <si>
    <t>자동차관리법 제10조 · 답변 건수 · 값</t>
  </si>
  <si>
    <t>자동차관리법 제10조 · 답변 건수 · 합계</t>
  </si>
  <si>
    <t>도로교통법 제49조</t>
  </si>
  <si>
    <t>도로교통법 제49조 · 과태료 부과율 · 비율</t>
  </si>
  <si>
    <t>도로교통법 제49조 · 과태료 부과율 · 해당 건수</t>
  </si>
  <si>
    <t>도로교통법 제49조 · 과태료 부과율 · 기준 건수</t>
  </si>
  <si>
    <t>도로교통법 제49조 · 답변 건수 · 값</t>
  </si>
  <si>
    <t>도로교통법 제49조 · 답변 건수 · 합계</t>
  </si>
  <si>
    <t>도로교통법 제38조</t>
  </si>
  <si>
    <t>도로교통법 제38조 · 과태료 부과율 · 비율</t>
  </si>
  <si>
    <t>도로교통법 제38조 · 과태료 부과율 · 해당 건수</t>
  </si>
  <si>
    <t>도로교통법 제38조 · 과태료 부과율 · 기준 건수</t>
  </si>
  <si>
    <t>도로교통법 제38조 · 답변 건수 · 값</t>
  </si>
  <si>
    <t>도로교통법 제38조 · 답변 건수 · 합계</t>
  </si>
  <si>
    <t>주차장법 제29조</t>
  </si>
  <si>
    <t>주차장법 제29조 · 과태료 부과율 · 비율</t>
  </si>
  <si>
    <t>주차장법 제29조 · 과태료 부과율 · 해당 건수</t>
  </si>
  <si>
    <t>주차장법 제29조 · 과태료 부과율 · 기준 건수</t>
  </si>
  <si>
    <t>주차장법 제29조 · 답변 건수 · 값</t>
  </si>
  <si>
    <t>주차장법 제29조 · 답변 건수 · 합계</t>
  </si>
  <si>
    <t>도로교통법 제13조</t>
  </si>
  <si>
    <t>도로교통법 제13조 · 과태료 부과율 · 비율</t>
  </si>
  <si>
    <t>도로교통법 제13조 · 과태료 부과율 · 해당 건수</t>
  </si>
  <si>
    <t>도로교통법 제13조 · 과태료 부과율 · 기준 건수</t>
  </si>
  <si>
    <t>도로교통법 제13조 · 답변 건수 · 값</t>
  </si>
  <si>
    <t>도로교통법 제13조 · 답변 건수 · 합계</t>
  </si>
  <si>
    <t>도로교통법 제5조의2</t>
  </si>
  <si>
    <t>도로교통법 제5조의2 · 과태료 부과율 · 비율</t>
  </si>
  <si>
    <t>도로교통법 제5조의2 · 과태료 부과율 · 해당 건수</t>
  </si>
  <si>
    <t>도로교통법 제5조의2 · 과태료 부과율 · 기준 건수</t>
  </si>
  <si>
    <t>도로교통법 제5조의2 · 답변 건수 · 값</t>
  </si>
  <si>
    <t>도로교통법 제5조의2 · 답변 건수 · 합계</t>
  </si>
  <si>
    <t>도로교통법 제25조</t>
  </si>
  <si>
    <t>도로교통법 제25조 · 과태료 부과율 · 비율</t>
  </si>
  <si>
    <t>도로교통법 제25조 · 과태료 부과율 · 해당 건수</t>
  </si>
  <si>
    <t>도로교통법 제25조 · 과태료 부과율 · 기준 건수</t>
  </si>
  <si>
    <t>도로교통법 제25조 · 답변 건수 · 값</t>
  </si>
  <si>
    <t>도로교통법 제25조 · 답변 건수 · 합계</t>
  </si>
  <si>
    <t>법규 미상</t>
  </si>
  <si>
    <t>법규 미상 · 과태료 부과율 · 비율</t>
  </si>
  <si>
    <t>법규 미상 · 과태료 부과율 · 해당 건수</t>
  </si>
  <si>
    <t>법규 미상 · 과태료 부과율 · 기준 건수</t>
  </si>
  <si>
    <t>법규 미상 · 답변 건수 · 값</t>
  </si>
  <si>
    <t>법규 미상 · 답변 건수 · 합계</t>
  </si>
  <si>
    <t>행 합계</t>
  </si>
  <si>
    <t>행 합계 · 과태료 부과율 · 비율</t>
  </si>
  <si>
    <t>행 합계 · 과태료 부과율 · 해당 건수</t>
  </si>
  <si>
    <t>행 합계 · 과태료 부과율 · 기준 건수</t>
  </si>
  <si>
    <t>행 합계 · 답변 건수 · 값</t>
  </si>
  <si>
    <t>행 합계 · 답변 건수 · 합계</t>
  </si>
  <si>
    <t>예시 서울중부경찰서</t>
  </si>
  <si>
    <t>예시 강남구청</t>
  </si>
  <si>
    <t>예시 수원시청</t>
  </si>
  <si>
    <t>예시 인천남동경찰서</t>
  </si>
  <si>
    <t>—</t>
  </si>
  <si>
    <t>예시 대구수성경찰서</t>
  </si>
  <si>
    <t>예시 해운대구청</t>
  </si>
  <si>
    <t>예시 부산연제경찰서</t>
  </si>
  <si>
    <t>예시 대전서구청</t>
  </si>
  <si>
    <t>예시 광주북구청</t>
  </si>
  <si>
    <t>예시 제주시청</t>
  </si>
  <si>
    <t>합계</t>
  </si>
  <si>
    <t>합계는 칸을 더한 값이 아니라 해당 신고 전체로 다시 계산한 값입니다.</t>
  </si>
  <si>
    <t>비율은 같은 줄의 ‘해당 건수 ÷ 기준 건수’ 수식입니다.</t>
  </si>
  <si>
    <t>차트 데이터</t>
  </si>
  <si>
    <t>차트가 그리는 숫자입니다. ‘통계표’ 시트에서 가져옵니다.</t>
  </si>
  <si>
    <t>맞춤 통계 · 기관 × 위반법규 · 과태료 부과율, 답변 건수 · 차트</t>
  </si>
  <si>
    <t>과태료 부과율 히트맵</t>
  </si>
  <si>
    <t>색 기준 0~100%.</t>
  </si>
  <si>
    <t>맞춤 통계 · 기관 × 위반법규 · 과태료 부과율, 답변 건수 · 조회 조건</t>
  </si>
  <si>
    <t>내려받은 시각</t>
  </si>
  <si>
    <t>2026-10-04 01:34:12 (한국 시간)</t>
  </si>
  <si>
    <t>자료 버전</t>
  </si>
  <si>
    <t>synthetic-2026-09-27</t>
  </si>
  <si>
    <t>기간</t>
  </si>
  <si>
    <t>2025-09-25 — 2026-09-24</t>
  </si>
  <si>
    <t>날짜 기준</t>
  </si>
  <si>
    <t>답변일</t>
  </si>
  <si>
    <t>대상 범위</t>
  </si>
  <si>
    <t>전국 · 모든 분류</t>
  </si>
  <si>
    <t>누구의 신고</t>
  </si>
  <si>
    <t>전체</t>
  </si>
  <si>
    <t>행</t>
  </si>
  <si>
    <t>열</t>
  </si>
  <si>
    <t>위반법규</t>
  </si>
  <si>
    <t>지표</t>
  </si>
  <si>
    <t>과태료 부과율, 답변 건수</t>
  </si>
  <si>
    <t>비교 대상</t>
  </si>
  <si>
    <t>고르지 않음 (전체)</t>
  </si>
  <si>
    <t>답변 신고</t>
  </si>
  <si>
    <t>전체 306건</t>
  </si>
  <si>
    <t>표 정렬</t>
  </si>
  <si>
    <t>기본 순서</t>
  </si>
  <si>
    <t>그래프</t>
  </si>
  <si>
    <t>히트맵 (자동 선택)</t>
  </si>
  <si>
    <t>지표 정의</t>
  </si>
  <si>
    <t>과태료 부과율: 전체 답변 중 과태료 처분의 비율 · 답변 건수: 답변 받은 신고 수</t>
  </si>
  <si>
    <t>빈 칸의 뜻</t>
  </si>
  <si>
    <t>— : 해당 신고 없음 · 계산 불가: 기준 신고 0건 · 자료 없음: 계산할 자료 없음</t>
  </si>
  <si>
    <t>화면에서 숨긴 항목</t>
  </si>
  <si>
    <t>없음</t>
  </si>
  <si>
    <t>이 파일에 대해</t>
  </si>
  <si>
    <t>내려받은 시점의 결과입니다.</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</si>
</sst>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7">
    <numFmt numFmtId="164" formatCode="#,##0&quot;건&quot;"/>
    <numFmt numFmtId="165" formatCode="0.0%"/>
    <numFmt numFmtId="166" formatCode="#,##0&quot;원&quot;"/>
    <numFmt numFmtId="167" formatCode="0.0&quot;일&quot;"/>
    <numFmt numFmtId="168" formatCode="0.00&quot;점&quot;"/>
    <numFmt numFmtId="169" formatCode="yyyy-mm"/>
    <numFmt numFmtId="170" formatCode="@"/>
  </numFmts>
  <fonts count="6">
    <font>
      <name val="Calibri"/>
      <family val="2"/>
      <color theme="1"/>
      <sz val="11"/>
    </font>
    <font>
      <name val="맑은 고딕"/>
      <family val="2"/>
      <b val="1"/>
      <color rgb="FF111827"/>
      <sz val="14"/>
    </font>
    <font>
      <name val="맑은 고딕"/>
      <family val="2"/>
      <color rgb="FF4B5563"/>
      <sz val="10"/>
    </font>
    <font>
      <name val="맑은 고딕"/>
      <family val="2"/>
      <b val="1"/>
      <color rgb="FF1F2937"/>
      <sz val="10"/>
    </font>
    <font>
      <name val="맑은 고딕"/>
      <family val="2"/>
      <color rgb="FF1F2937"/>
      <sz val="10"/>
    </font>
    <font>
      <name val="맑은 고딕"/>
      <family val="2"/>
      <i val="1"/>
      <color rgb="FF6B7280"/>
      <sz val="10"/>
    </font>
  </fonts>
  <fills count="4">
    <fill>
      <patternFill patternType="none"/>
    </fill>
    <fill>
      <patternFill patternType="gray125"/>
    </fill>
    <fill>
      <patternFill patternType="solid">
        <fgColor rgb="FFF3F4F6"/>
      </patternFill>
    </fill>
    <fill>
      <patternFill patternType="solid">
        <fgColor rgb="FFF9FAFB"/>
      </patternFill>
    </fill>
  </fills>
  <borders count="2">
    <border>
      <left/>
      <right/>
      <top/>
      <bottom/>
      <diagonal/>
    </border>
    <border>
      <bottom style="thin">
        <color rgb="FFD1D5DB"/>
      </bottom>
    </border>
  </borders>
  <cellStyleXfs count="1">
    <xf numFmtId="0" fontId="0" fillId="0" borderId="0"/>
  </cellStyleXfs>
  <cellXfs count="23">
    <xf numFmtId="0" fontId="0" fillId="0" borderId="0" xfId="0"/>
    <xf numFmtId="0" fontId="1" fillId="0" borderId="0" xfId="0" applyFont="true" applyAlignment="false">
      <alignment/>
    </xf>
    <xf numFmtId="0" fontId="2" fillId="0" borderId="0" xfId="0" applyFont="true" applyAlignment="true">
      <alignment vertical="top" wrapText="true"/>
    </xf>
    <xf numFmtId="0" fontId="2" fillId="0" borderId="0" xfId="0" applyFont="true" applyAlignment="false">
      <alignment/>
    </xf>
    <xf numFmtId="0" fontId="3" fillId="2" borderId="1" xfId="0" applyFont="true" applyFill="true" applyBorder="true" applyAlignment="true">
      <alignment horizontal="center" vertical="center" wrapText="true"/>
    </xf>
    <xf numFmtId="0" fontId="4" fillId="0" borderId="0" xfId="0" applyFont="true" applyAlignment="true">
      <alignment vertical="top" wrapText="true"/>
    </xf>
    <xf numFmtId="0" fontId="3" fillId="3" borderId="0" xfId="0" applyFont="true" applyFill="true" applyAlignment="false">
      <alignment/>
    </xf>
    <xf numFmtId="0" fontId="5" fillId="0" borderId="0" xfId="0" applyFont="true" applyAlignment="true">
      <alignment horizontal="right"/>
    </xf>
    <xf numFmtId="0" fontId="3" fillId="0" borderId="0" xfId="0" applyFont="true" applyAlignment="true">
      <alignment vertical="top"/>
    </xf>
    <xf numFmtId="164" fontId="4" fillId="0" borderId="0" xfId="0" applyNumberFormat="true" applyFont="true" applyAlignment="true">
      <alignment horizontal="right"/>
    </xf>
    <xf numFmtId="165" fontId="4" fillId="0" borderId="0" xfId="0" applyNumberFormat="true" applyFont="true" applyAlignment="true">
      <alignment horizontal="right"/>
    </xf>
    <xf numFmtId="166" fontId="4" fillId="0" borderId="0" xfId="0" applyNumberFormat="true" applyFont="true" applyAlignment="true">
      <alignment horizontal="right"/>
    </xf>
    <xf numFmtId="167" fontId="4" fillId="0" borderId="0" xfId="0" applyNumberFormat="true" applyFont="true" applyAlignment="true">
      <alignment horizontal="right"/>
    </xf>
    <xf numFmtId="168" fontId="4" fillId="0" borderId="0" xfId="0" applyNumberFormat="true" applyFont="true" applyAlignment="true">
      <alignment horizontal="right"/>
    </xf>
    <xf numFmtId="169" fontId="4" fillId="0" borderId="0" xfId="0" applyNumberFormat="true" applyFont="true" applyAlignment="true">
      <alignment horizontal="right"/>
    </xf>
    <xf numFmtId="170" fontId="4" fillId="0" borderId="0" xfId="0" applyNumberFormat="true" applyFont="true" applyAlignment="true">
      <alignment horizontal="left"/>
    </xf>
    <xf numFmtId="164" fontId="3" fillId="3" borderId="0" xfId="0" applyNumberFormat="true" applyFont="true" applyFill="true" applyAlignment="true">
      <alignment horizontal="right"/>
    </xf>
    <xf numFmtId="165" fontId="3" fillId="3" borderId="0" xfId="0" applyNumberFormat="true" applyFont="true" applyFill="true" applyAlignment="true">
      <alignment horizontal="right"/>
    </xf>
    <xf numFmtId="166" fontId="3" fillId="3" borderId="0" xfId="0" applyNumberFormat="true" applyFont="true" applyFill="true" applyAlignment="true">
      <alignment horizontal="right"/>
    </xf>
    <xf numFmtId="167" fontId="3" fillId="3" borderId="0" xfId="0" applyNumberFormat="true" applyFont="true" applyFill="true" applyAlignment="true">
      <alignment horizontal="right"/>
    </xf>
    <xf numFmtId="168" fontId="3" fillId="3" borderId="0" xfId="0" applyNumberFormat="true" applyFont="true" applyFill="true" applyAlignment="true">
      <alignment horizontal="right"/>
    </xf>
    <xf numFmtId="169" fontId="3" fillId="3" borderId="0" xfId="0" applyNumberFormat="true" applyFont="true" applyFill="true" applyAlignment="true">
      <alignment horizontal="right"/>
    </xf>
    <xf numFmtId="170" fontId="3" fillId="3" borderId="0" xfId="0" applyNumberFormat="true" applyFont="true" applyFill="true" applyAlignment="true">
      <alignment horizontal="righ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worksheets/sheet3.xml" Type="http://schemas.openxmlformats.org/officeDocument/2006/relationships/worksheet"></Relationship><Relationship Id="rId6" Target="worksheets/sheet4.xml" Type="http://schemas.openxmlformats.org/officeDocument/2006/relationships/worksheet"></Relationship><Relationship Id="rId7"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Right" state="frozen" topLeftCell="B8" xSplit="1" ySplit="7"/>
    </sheetView>
  </sheetViews>
  <sheetFormatPr defaultRowHeight="15"/>
  <cols>
    <col customWidth="true" max="1" min="1" width="24"/>
    <col customWidth="true" max="76" min="2" width="14"/>
  </cols>
  <sheetData>
    <row r="1">
      <c r="A1" s="1" t="s">
        <v>0</v>
      </c>
    </row>
    <row r="2">
      <c r="A2" s="3" t="s">
        <v>1</v>
      </c>
    </row>
    <row r="4">
      <c r="A4" s="4" t="s">
        <v>2</v>
      </c>
      <c r="B4" s="4" t="s">
        <v>4</v>
      </c>
      <c r="C4" s="4" t="s">
        <v>4</v>
      </c>
      <c r="D4" s="4" t="s">
        <v>4</v>
      </c>
      <c r="E4" s="4" t="s">
        <v>4</v>
      </c>
      <c r="F4" s="4" t="s">
        <v>4</v>
      </c>
      <c r="G4" s="4" t="s">
        <v>12</v>
      </c>
      <c r="H4" s="4" t="s">
        <v>12</v>
      </c>
      <c r="I4" s="4" t="s">
        <v>12</v>
      </c>
      <c r="J4" s="4" t="s">
        <v>12</v>
      </c>
      <c r="K4" s="4" t="s">
        <v>12</v>
      </c>
      <c r="L4" s="4" t="s">
        <v>18</v>
      </c>
      <c r="M4" s="4" t="s">
        <v>18</v>
      </c>
      <c r="N4" s="4" t="s">
        <v>18</v>
      </c>
      <c r="O4" s="4" t="s">
        <v>18</v>
      </c>
      <c r="P4" s="4" t="s">
        <v>18</v>
      </c>
      <c r="Q4" s="4" t="s">
        <v>24</v>
      </c>
      <c r="R4" s="4" t="s">
        <v>24</v>
      </c>
      <c r="S4" s="4" t="s">
        <v>24</v>
      </c>
      <c r="T4" s="4" t="s">
        <v>24</v>
      </c>
      <c r="U4" s="4" t="s">
        <v>24</v>
      </c>
      <c r="V4" s="4" t="s">
        <v>30</v>
      </c>
      <c r="W4" s="4" t="s">
        <v>30</v>
      </c>
      <c r="X4" s="4" t="s">
        <v>30</v>
      </c>
      <c r="Y4" s="4" t="s">
        <v>30</v>
      </c>
      <c r="Z4" s="4" t="s">
        <v>30</v>
      </c>
      <c r="AA4" s="4" t="s">
        <v>36</v>
      </c>
      <c r="AB4" s="4" t="s">
        <v>36</v>
      </c>
      <c r="AC4" s="4" t="s">
        <v>36</v>
      </c>
      <c r="AD4" s="4" t="s">
        <v>36</v>
      </c>
      <c r="AE4" s="4" t="s">
        <v>36</v>
      </c>
      <c r="AF4" s="4" t="s">
        <v>42</v>
      </c>
      <c r="AG4" s="4" t="s">
        <v>42</v>
      </c>
      <c r="AH4" s="4" t="s">
        <v>42</v>
      </c>
      <c r="AI4" s="4" t="s">
        <v>42</v>
      </c>
      <c r="AJ4" s="4" t="s">
        <v>42</v>
      </c>
      <c r="AK4" s="4" t="s">
        <v>48</v>
      </c>
      <c r="AL4" s="4" t="s">
        <v>48</v>
      </c>
      <c r="AM4" s="4" t="s">
        <v>48</v>
      </c>
      <c r="AN4" s="4" t="s">
        <v>48</v>
      </c>
      <c r="AO4" s="4" t="s">
        <v>48</v>
      </c>
      <c r="AP4" s="4" t="s">
        <v>54</v>
      </c>
      <c r="AQ4" s="4" t="s">
        <v>54</v>
      </c>
      <c r="AR4" s="4" t="s">
        <v>54</v>
      </c>
      <c r="AS4" s="4" t="s">
        <v>54</v>
      </c>
      <c r="AT4" s="4" t="s">
        <v>54</v>
      </c>
      <c r="AU4" s="4" t="s">
        <v>60</v>
      </c>
      <c r="AV4" s="4" t="s">
        <v>60</v>
      </c>
      <c r="AW4" s="4" t="s">
        <v>60</v>
      </c>
      <c r="AX4" s="4" t="s">
        <v>60</v>
      </c>
      <c r="AY4" s="4" t="s">
        <v>60</v>
      </c>
      <c r="AZ4" s="4" t="s">
        <v>66</v>
      </c>
      <c r="BA4" s="4" t="s">
        <v>66</v>
      </c>
      <c r="BB4" s="4" t="s">
        <v>66</v>
      </c>
      <c r="BC4" s="4" t="s">
        <v>66</v>
      </c>
      <c r="BD4" s="4" t="s">
        <v>66</v>
      </c>
      <c r="BE4" s="4" t="s">
        <v>72</v>
      </c>
      <c r="BF4" s="4" t="s">
        <v>72</v>
      </c>
      <c r="BG4" s="4" t="s">
        <v>72</v>
      </c>
      <c r="BH4" s="4" t="s">
        <v>72</v>
      </c>
      <c r="BI4" s="4" t="s">
        <v>72</v>
      </c>
      <c r="BJ4" s="4" t="s">
        <v>78</v>
      </c>
      <c r="BK4" s="4" t="s">
        <v>78</v>
      </c>
      <c r="BL4" s="4" t="s">
        <v>78</v>
      </c>
      <c r="BM4" s="4" t="s">
        <v>78</v>
      </c>
      <c r="BN4" s="4" t="s">
        <v>78</v>
      </c>
      <c r="BO4" s="4" t="s">
        <v>84</v>
      </c>
      <c r="BP4" s="4" t="s">
        <v>84</v>
      </c>
      <c r="BQ4" s="4" t="s">
        <v>84</v>
      </c>
      <c r="BR4" s="4" t="s">
        <v>84</v>
      </c>
      <c r="BS4" s="4" t="s">
        <v>84</v>
      </c>
      <c r="BT4" s="4" t="s">
        <v>90</v>
      </c>
      <c r="BU4" s="4" t="s">
        <v>90</v>
      </c>
      <c r="BV4" s="4" t="s">
        <v>90</v>
      </c>
      <c r="BW4" s="4" t="s">
        <v>90</v>
      </c>
      <c r="BX4" s="4" t="s">
        <v>90</v>
      </c>
    </row>
    <row r="5">
      <c r="A5" s="4" t="s">
        <v>2</v>
      </c>
      <c r="B5" s="4" t="s">
        <v>5</v>
      </c>
      <c r="C5" s="4" t="s">
        <v>5</v>
      </c>
      <c r="D5" s="4" t="s">
        <v>5</v>
      </c>
      <c r="E5" s="4" t="s">
        <v>9</v>
      </c>
      <c r="F5" s="4" t="s">
        <v>9</v>
      </c>
      <c r="G5" s="4" t="s">
        <v>5</v>
      </c>
      <c r="H5" s="4" t="s">
        <v>5</v>
      </c>
      <c r="I5" s="4" t="s">
        <v>5</v>
      </c>
      <c r="J5" s="4" t="s">
        <v>9</v>
      </c>
      <c r="K5" s="4" t="s">
        <v>9</v>
      </c>
      <c r="L5" s="4" t="s">
        <v>5</v>
      </c>
      <c r="M5" s="4" t="s">
        <v>5</v>
      </c>
      <c r="N5" s="4" t="s">
        <v>5</v>
      </c>
      <c r="O5" s="4" t="s">
        <v>9</v>
      </c>
      <c r="P5" s="4" t="s">
        <v>9</v>
      </c>
      <c r="Q5" s="4" t="s">
        <v>5</v>
      </c>
      <c r="R5" s="4" t="s">
        <v>5</v>
      </c>
      <c r="S5" s="4" t="s">
        <v>5</v>
      </c>
      <c r="T5" s="4" t="s">
        <v>9</v>
      </c>
      <c r="U5" s="4" t="s">
        <v>9</v>
      </c>
      <c r="V5" s="4" t="s">
        <v>5</v>
      </c>
      <c r="W5" s="4" t="s">
        <v>5</v>
      </c>
      <c r="X5" s="4" t="s">
        <v>5</v>
      </c>
      <c r="Y5" s="4" t="s">
        <v>9</v>
      </c>
      <c r="Z5" s="4" t="s">
        <v>9</v>
      </c>
      <c r="AA5" s="4" t="s">
        <v>5</v>
      </c>
      <c r="AB5" s="4" t="s">
        <v>5</v>
      </c>
      <c r="AC5" s="4" t="s">
        <v>5</v>
      </c>
      <c r="AD5" s="4" t="s">
        <v>9</v>
      </c>
      <c r="AE5" s="4" t="s">
        <v>9</v>
      </c>
      <c r="AF5" s="4" t="s">
        <v>5</v>
      </c>
      <c r="AG5" s="4" t="s">
        <v>5</v>
      </c>
      <c r="AH5" s="4" t="s">
        <v>5</v>
      </c>
      <c r="AI5" s="4" t="s">
        <v>9</v>
      </c>
      <c r="AJ5" s="4" t="s">
        <v>9</v>
      </c>
      <c r="AK5" s="4" t="s">
        <v>5</v>
      </c>
      <c r="AL5" s="4" t="s">
        <v>5</v>
      </c>
      <c r="AM5" s="4" t="s">
        <v>5</v>
      </c>
      <c r="AN5" s="4" t="s">
        <v>9</v>
      </c>
      <c r="AO5" s="4" t="s">
        <v>9</v>
      </c>
      <c r="AP5" s="4" t="s">
        <v>5</v>
      </c>
      <c r="AQ5" s="4" t="s">
        <v>5</v>
      </c>
      <c r="AR5" s="4" t="s">
        <v>5</v>
      </c>
      <c r="AS5" s="4" t="s">
        <v>9</v>
      </c>
      <c r="AT5" s="4" t="s">
        <v>9</v>
      </c>
      <c r="AU5" s="4" t="s">
        <v>5</v>
      </c>
      <c r="AV5" s="4" t="s">
        <v>5</v>
      </c>
      <c r="AW5" s="4" t="s">
        <v>5</v>
      </c>
      <c r="AX5" s="4" t="s">
        <v>9</v>
      </c>
      <c r="AY5" s="4" t="s">
        <v>9</v>
      </c>
      <c r="AZ5" s="4" t="s">
        <v>5</v>
      </c>
      <c r="BA5" s="4" t="s">
        <v>5</v>
      </c>
      <c r="BB5" s="4" t="s">
        <v>5</v>
      </c>
      <c r="BC5" s="4" t="s">
        <v>9</v>
      </c>
      <c r="BD5" s="4" t="s">
        <v>9</v>
      </c>
      <c r="BE5" s="4" t="s">
        <v>5</v>
      </c>
      <c r="BF5" s="4" t="s">
        <v>5</v>
      </c>
      <c r="BG5" s="4" t="s">
        <v>5</v>
      </c>
      <c r="BH5" s="4" t="s">
        <v>9</v>
      </c>
      <c r="BI5" s="4" t="s">
        <v>9</v>
      </c>
      <c r="BJ5" s="4" t="s">
        <v>5</v>
      </c>
      <c r="BK5" s="4" t="s">
        <v>5</v>
      </c>
      <c r="BL5" s="4" t="s">
        <v>5</v>
      </c>
      <c r="BM5" s="4" t="s">
        <v>9</v>
      </c>
      <c r="BN5" s="4" t="s">
        <v>9</v>
      </c>
      <c r="BO5" s="4" t="s">
        <v>5</v>
      </c>
      <c r="BP5" s="4" t="s">
        <v>5</v>
      </c>
      <c r="BQ5" s="4" t="s">
        <v>5</v>
      </c>
      <c r="BR5" s="4" t="s">
        <v>9</v>
      </c>
      <c r="BS5" s="4" t="s">
        <v>9</v>
      </c>
      <c r="BT5" s="4" t="s">
        <v>5</v>
      </c>
      <c r="BU5" s="4" t="s">
        <v>5</v>
      </c>
      <c r="BV5" s="4" t="s">
        <v>5</v>
      </c>
      <c r="BW5" s="4" t="s">
        <v>9</v>
      </c>
      <c r="BX5" s="4" t="s">
        <v>9</v>
      </c>
    </row>
    <row r="6">
      <c r="A6" s="4" t="s">
        <v>2</v>
      </c>
      <c r="B6" s="4" t="s">
        <v>2</v>
      </c>
      <c r="C6" s="4" t="s">
        <v>2</v>
      </c>
      <c r="D6" s="4" t="s">
        <v>2</v>
      </c>
      <c r="E6" s="4" t="s">
        <v>2</v>
      </c>
      <c r="F6" s="4" t="s">
        <v>2</v>
      </c>
      <c r="G6" s="4" t="s">
        <v>2</v>
      </c>
      <c r="H6" s="4" t="s">
        <v>2</v>
      </c>
      <c r="I6" s="4" t="s">
        <v>2</v>
      </c>
      <c r="J6" s="4" t="s">
        <v>2</v>
      </c>
      <c r="K6" s="4" t="s">
        <v>2</v>
      </c>
      <c r="L6" s="4" t="s">
        <v>2</v>
      </c>
      <c r="M6" s="4" t="s">
        <v>2</v>
      </c>
      <c r="N6" s="4" t="s">
        <v>2</v>
      </c>
      <c r="O6" s="4" t="s">
        <v>2</v>
      </c>
      <c r="P6" s="4" t="s">
        <v>2</v>
      </c>
      <c r="Q6" s="4" t="s">
        <v>2</v>
      </c>
      <c r="R6" s="4" t="s">
        <v>2</v>
      </c>
      <c r="S6" s="4" t="s">
        <v>2</v>
      </c>
      <c r="T6" s="4" t="s">
        <v>2</v>
      </c>
      <c r="U6" s="4" t="s">
        <v>2</v>
      </c>
      <c r="V6" s="4" t="s">
        <v>2</v>
      </c>
      <c r="W6" s="4" t="s">
        <v>2</v>
      </c>
      <c r="X6" s="4" t="s">
        <v>2</v>
      </c>
      <c r="Y6" s="4" t="s">
        <v>2</v>
      </c>
      <c r="Z6" s="4" t="s">
        <v>2</v>
      </c>
      <c r="AA6" s="4" t="s">
        <v>2</v>
      </c>
      <c r="AB6" s="4" t="s">
        <v>2</v>
      </c>
      <c r="AC6" s="4" t="s">
        <v>2</v>
      </c>
      <c r="AD6" s="4" t="s">
        <v>2</v>
      </c>
      <c r="AE6" s="4" t="s">
        <v>2</v>
      </c>
      <c r="AF6" s="4" t="s">
        <v>2</v>
      </c>
      <c r="AG6" s="4" t="s">
        <v>2</v>
      </c>
      <c r="AH6" s="4" t="s">
        <v>2</v>
      </c>
      <c r="AI6" s="4" t="s">
        <v>2</v>
      </c>
      <c r="AJ6" s="4" t="s">
        <v>2</v>
      </c>
      <c r="AK6" s="4" t="s">
        <v>2</v>
      </c>
      <c r="AL6" s="4" t="s">
        <v>2</v>
      </c>
      <c r="AM6" s="4" t="s">
        <v>2</v>
      </c>
      <c r="AN6" s="4" t="s">
        <v>2</v>
      </c>
      <c r="AO6" s="4" t="s">
        <v>2</v>
      </c>
      <c r="AP6" s="4" t="s">
        <v>2</v>
      </c>
      <c r="AQ6" s="4" t="s">
        <v>2</v>
      </c>
      <c r="AR6" s="4" t="s">
        <v>2</v>
      </c>
      <c r="AS6" s="4" t="s">
        <v>2</v>
      </c>
      <c r="AT6" s="4" t="s">
        <v>2</v>
      </c>
      <c r="AU6" s="4" t="s">
        <v>2</v>
      </c>
      <c r="AV6" s="4" t="s">
        <v>2</v>
      </c>
      <c r="AW6" s="4" t="s">
        <v>2</v>
      </c>
      <c r="AX6" s="4" t="s">
        <v>2</v>
      </c>
      <c r="AY6" s="4" t="s">
        <v>2</v>
      </c>
      <c r="AZ6" s="4" t="s">
        <v>2</v>
      </c>
      <c r="BA6" s="4" t="s">
        <v>2</v>
      </c>
      <c r="BB6" s="4" t="s">
        <v>2</v>
      </c>
      <c r="BC6" s="4" t="s">
        <v>2</v>
      </c>
      <c r="BD6" s="4" t="s">
        <v>2</v>
      </c>
      <c r="BE6" s="4" t="s">
        <v>2</v>
      </c>
      <c r="BF6" s="4" t="s">
        <v>2</v>
      </c>
      <c r="BG6" s="4" t="s">
        <v>2</v>
      </c>
      <c r="BH6" s="4" t="s">
        <v>2</v>
      </c>
      <c r="BI6" s="4" t="s">
        <v>2</v>
      </c>
      <c r="BJ6" s="4" t="s">
        <v>2</v>
      </c>
      <c r="BK6" s="4" t="s">
        <v>2</v>
      </c>
      <c r="BL6" s="4" t="s">
        <v>2</v>
      </c>
      <c r="BM6" s="4" t="s">
        <v>2</v>
      </c>
      <c r="BN6" s="4" t="s">
        <v>2</v>
      </c>
      <c r="BO6" s="4" t="s">
        <v>2</v>
      </c>
      <c r="BP6" s="4" t="s">
        <v>2</v>
      </c>
      <c r="BQ6" s="4" t="s">
        <v>2</v>
      </c>
      <c r="BR6" s="4" t="s">
        <v>2</v>
      </c>
      <c r="BS6" s="4" t="s">
        <v>2</v>
      </c>
      <c r="BT6" s="4" t="s">
        <v>2</v>
      </c>
      <c r="BU6" s="4" t="s">
        <v>2</v>
      </c>
      <c r="BV6" s="4" t="s">
        <v>2</v>
      </c>
      <c r="BW6" s="4" t="s">
        <v>2</v>
      </c>
      <c r="BX6" s="4" t="s">
        <v>2</v>
      </c>
    </row>
    <row r="7">
      <c r="A7" s="4" t="s">
        <v>3</v>
      </c>
      <c r="B7" s="4" t="s">
        <v>6</v>
      </c>
      <c r="C7" s="4" t="s">
        <v>7</v>
      </c>
      <c r="D7" s="4" t="s">
        <v>8</v>
      </c>
      <c r="E7" s="4" t="s">
        <v>10</v>
      </c>
      <c r="F7" s="4" t="s">
        <v>11</v>
      </c>
      <c r="G7" s="4" t="s">
        <v>13</v>
      </c>
      <c r="H7" s="4" t="s">
        <v>14</v>
      </c>
      <c r="I7" s="4" t="s">
        <v>15</v>
      </c>
      <c r="J7" s="4" t="s">
        <v>16</v>
      </c>
      <c r="K7" s="4" t="s">
        <v>17</v>
      </c>
      <c r="L7" s="4" t="s">
        <v>19</v>
      </c>
      <c r="M7" s="4" t="s">
        <v>20</v>
      </c>
      <c r="N7" s="4" t="s">
        <v>21</v>
      </c>
      <c r="O7" s="4" t="s">
        <v>22</v>
      </c>
      <c r="P7" s="4" t="s">
        <v>23</v>
      </c>
      <c r="Q7" s="4" t="s">
        <v>25</v>
      </c>
      <c r="R7" s="4" t="s">
        <v>26</v>
      </c>
      <c r="S7" s="4" t="s">
        <v>27</v>
      </c>
      <c r="T7" s="4" t="s">
        <v>28</v>
      </c>
      <c r="U7" s="4" t="s">
        <v>29</v>
      </c>
      <c r="V7" s="4" t="s">
        <v>31</v>
      </c>
      <c r="W7" s="4" t="s">
        <v>32</v>
      </c>
      <c r="X7" s="4" t="s">
        <v>33</v>
      </c>
      <c r="Y7" s="4" t="s">
        <v>34</v>
      </c>
      <c r="Z7" s="4" t="s">
        <v>35</v>
      </c>
      <c r="AA7" s="4" t="s">
        <v>37</v>
      </c>
      <c r="AB7" s="4" t="s">
        <v>38</v>
      </c>
      <c r="AC7" s="4" t="s">
        <v>39</v>
      </c>
      <c r="AD7" s="4" t="s">
        <v>40</v>
      </c>
      <c r="AE7" s="4" t="s">
        <v>41</v>
      </c>
      <c r="AF7" s="4" t="s">
        <v>43</v>
      </c>
      <c r="AG7" s="4" t="s">
        <v>44</v>
      </c>
      <c r="AH7" s="4" t="s">
        <v>45</v>
      </c>
      <c r="AI7" s="4" t="s">
        <v>46</v>
      </c>
      <c r="AJ7" s="4" t="s">
        <v>47</v>
      </c>
      <c r="AK7" s="4" t="s">
        <v>49</v>
      </c>
      <c r="AL7" s="4" t="s">
        <v>50</v>
      </c>
      <c r="AM7" s="4" t="s">
        <v>51</v>
      </c>
      <c r="AN7" s="4" t="s">
        <v>52</v>
      </c>
      <c r="AO7" s="4" t="s">
        <v>53</v>
      </c>
      <c r="AP7" s="4" t="s">
        <v>55</v>
      </c>
      <c r="AQ7" s="4" t="s">
        <v>56</v>
      </c>
      <c r="AR7" s="4" t="s">
        <v>57</v>
      </c>
      <c r="AS7" s="4" t="s">
        <v>58</v>
      </c>
      <c r="AT7" s="4" t="s">
        <v>59</v>
      </c>
      <c r="AU7" s="4" t="s">
        <v>61</v>
      </c>
      <c r="AV7" s="4" t="s">
        <v>62</v>
      </c>
      <c r="AW7" s="4" t="s">
        <v>63</v>
      </c>
      <c r="AX7" s="4" t="s">
        <v>64</v>
      </c>
      <c r="AY7" s="4" t="s">
        <v>65</v>
      </c>
      <c r="AZ7" s="4" t="s">
        <v>67</v>
      </c>
      <c r="BA7" s="4" t="s">
        <v>68</v>
      </c>
      <c r="BB7" s="4" t="s">
        <v>69</v>
      </c>
      <c r="BC7" s="4" t="s">
        <v>70</v>
      </c>
      <c r="BD7" s="4" t="s">
        <v>71</v>
      </c>
      <c r="BE7" s="4" t="s">
        <v>73</v>
      </c>
      <c r="BF7" s="4" t="s">
        <v>74</v>
      </c>
      <c r="BG7" s="4" t="s">
        <v>75</v>
      </c>
      <c r="BH7" s="4" t="s">
        <v>76</v>
      </c>
      <c r="BI7" s="4" t="s">
        <v>77</v>
      </c>
      <c r="BJ7" s="4" t="s">
        <v>79</v>
      </c>
      <c r="BK7" s="4" t="s">
        <v>80</v>
      </c>
      <c r="BL7" s="4" t="s">
        <v>81</v>
      </c>
      <c r="BM7" s="4" t="s">
        <v>82</v>
      </c>
      <c r="BN7" s="4" t="s">
        <v>83</v>
      </c>
      <c r="BO7" s="4" t="s">
        <v>85</v>
      </c>
      <c r="BP7" s="4" t="s">
        <v>86</v>
      </c>
      <c r="BQ7" s="4" t="s">
        <v>87</v>
      </c>
      <c r="BR7" s="4" t="s">
        <v>88</v>
      </c>
      <c r="BS7" s="4" t="s">
        <v>89</v>
      </c>
      <c r="BT7" s="4" t="s">
        <v>91</v>
      </c>
      <c r="BU7" s="4" t="s">
        <v>92</v>
      </c>
      <c r="BV7" s="4" t="s">
        <v>93</v>
      </c>
      <c r="BW7" s="4" t="s">
        <v>94</v>
      </c>
      <c r="BX7" s="4" t="s">
        <v>95</v>
      </c>
    </row>
    <row r="8">
      <c r="A8" s="5" t="s">
        <v>96</v>
      </c>
      <c r="B8" s="10" t="str">
        <f>C8/D8</f>
        <v>0.125</v>
      </c>
      <c r="C8" s="9">
        <v>1</v>
      </c>
      <c r="D8" s="9">
        <v>8</v>
      </c>
      <c r="E8" s="9">
        <v>8</v>
      </c>
      <c r="F8" s="9">
        <v>8</v>
      </c>
      <c r="G8" s="10" t="str">
        <f>H8/I8</f>
        <v>0.5833333333333334</v>
      </c>
      <c r="H8" s="9">
        <v>7</v>
      </c>
      <c r="I8" s="9">
        <v>12</v>
      </c>
      <c r="J8" s="9">
        <v>12</v>
      </c>
      <c r="K8" s="9">
        <v>12</v>
      </c>
      <c r="L8" s="10" t="str">
        <f>M8/N8</f>
        <v>0.2857142857142857</v>
      </c>
      <c r="M8" s="9">
        <v>2</v>
      </c>
      <c r="N8" s="9">
        <v>7</v>
      </c>
      <c r="O8" s="9">
        <v>7</v>
      </c>
      <c r="P8" s="9">
        <v>7</v>
      </c>
      <c r="Q8" s="10" t="str">
        <f>R8/S8</f>
        <v>0.2</v>
      </c>
      <c r="R8" s="9">
        <v>1</v>
      </c>
      <c r="S8" s="9">
        <v>5</v>
      </c>
      <c r="T8" s="9">
        <v>5</v>
      </c>
      <c r="U8" s="9">
        <v>5</v>
      </c>
      <c r="V8" s="10" t="str">
        <f>W8/X8</f>
        <v>0.4</v>
      </c>
      <c r="W8" s="9">
        <v>2</v>
      </c>
      <c r="X8" s="9">
        <v>5</v>
      </c>
      <c r="Y8" s="9">
        <v>5</v>
      </c>
      <c r="Z8" s="9">
        <v>5</v>
      </c>
      <c r="AA8" s="10" t="str">
        <f>AB8/AC8</f>
        <v>0</v>
      </c>
      <c r="AB8" s="9">
        <v>0</v>
      </c>
      <c r="AC8" s="9">
        <v>5</v>
      </c>
      <c r="AD8" s="9">
        <v>5</v>
      </c>
      <c r="AE8" s="9">
        <v>5</v>
      </c>
      <c r="AF8" s="10" t="str">
        <f>AG8/AH8</f>
        <v>0.3333333333333333</v>
      </c>
      <c r="AG8" s="9">
        <v>1</v>
      </c>
      <c r="AH8" s="9">
        <v>3</v>
      </c>
      <c r="AI8" s="9">
        <v>3</v>
      </c>
      <c r="AJ8" s="9">
        <v>3</v>
      </c>
      <c r="AK8" s="10" t="str">
        <f>AL8/AM8</f>
        <v>0</v>
      </c>
      <c r="AL8" s="9">
        <v>0</v>
      </c>
      <c r="AM8" s="9">
        <v>2</v>
      </c>
      <c r="AN8" s="9">
        <v>2</v>
      </c>
      <c r="AO8" s="9">
        <v>2</v>
      </c>
      <c r="AP8" s="10" t="str">
        <f>AQ8/AR8</f>
        <v>0</v>
      </c>
      <c r="AQ8" s="9">
        <v>0</v>
      </c>
      <c r="AR8" s="9">
        <v>2</v>
      </c>
      <c r="AS8" s="9">
        <v>2</v>
      </c>
      <c r="AT8" s="9">
        <v>2</v>
      </c>
      <c r="AU8" s="10" t="str">
        <f>AV8/AW8</f>
        <v>0</v>
      </c>
      <c r="AV8" s="9">
        <v>0</v>
      </c>
      <c r="AW8" s="9">
        <v>2</v>
      </c>
      <c r="AX8" s="9">
        <v>2</v>
      </c>
      <c r="AY8" s="9">
        <v>2</v>
      </c>
      <c r="AZ8" s="10" t="str">
        <f>BA8/BB8</f>
        <v>0.3333333333333333</v>
      </c>
      <c r="BA8" s="9">
        <v>1</v>
      </c>
      <c r="BB8" s="9">
        <v>3</v>
      </c>
      <c r="BC8" s="9">
        <v>3</v>
      </c>
      <c r="BD8" s="9">
        <v>3</v>
      </c>
      <c r="BE8" s="10" t="str">
        <f>BF8/BG8</f>
        <v>0.3333333333333333</v>
      </c>
      <c r="BF8" s="9">
        <v>1</v>
      </c>
      <c r="BG8" s="9">
        <v>3</v>
      </c>
      <c r="BH8" s="9">
        <v>3</v>
      </c>
      <c r="BI8" s="9">
        <v>3</v>
      </c>
      <c r="BJ8" s="10" t="str">
        <f>BK8/BL8</f>
        <v>0</v>
      </c>
      <c r="BK8" s="9">
        <v>0</v>
      </c>
      <c r="BL8" s="9">
        <v>1</v>
      </c>
      <c r="BM8" s="9">
        <v>1</v>
      </c>
      <c r="BN8" s="9">
        <v>1</v>
      </c>
      <c r="BO8" s="10" t="str">
        <f>BP8/BQ8</f>
        <v>0.25</v>
      </c>
      <c r="BP8" s="9">
        <v>2</v>
      </c>
      <c r="BQ8" s="9">
        <v>8</v>
      </c>
      <c r="BR8" s="9">
        <v>8</v>
      </c>
      <c r="BS8" s="9">
        <v>8</v>
      </c>
      <c r="BT8" s="10" t="str">
        <f>BU8/BV8</f>
        <v>0.2727272727272727</v>
      </c>
      <c r="BU8" s="9">
        <v>18</v>
      </c>
      <c r="BV8" s="9">
        <v>66</v>
      </c>
      <c r="BW8" s="9">
        <v>66</v>
      </c>
      <c r="BX8" s="9">
        <v>66</v>
      </c>
    </row>
    <row r="9">
      <c r="A9" s="5" t="s">
        <v>97</v>
      </c>
      <c r="B9" s="10" t="str">
        <f>C9/D9</f>
        <v>0.1111111111111111</v>
      </c>
      <c r="C9" s="9">
        <v>1</v>
      </c>
      <c r="D9" s="9">
        <v>9</v>
      </c>
      <c r="E9" s="9">
        <v>9</v>
      </c>
      <c r="F9" s="9">
        <v>9</v>
      </c>
      <c r="G9" s="10" t="str">
        <f>H9/I9</f>
        <v>0.6</v>
      </c>
      <c r="H9" s="9">
        <v>3</v>
      </c>
      <c r="I9" s="9">
        <v>5</v>
      </c>
      <c r="J9" s="9">
        <v>5</v>
      </c>
      <c r="K9" s="9">
        <v>5</v>
      </c>
      <c r="L9" s="10" t="str">
        <f>M9/N9</f>
        <v>0.3333333333333333</v>
      </c>
      <c r="M9" s="9">
        <v>2</v>
      </c>
      <c r="N9" s="9">
        <v>6</v>
      </c>
      <c r="O9" s="9">
        <v>6</v>
      </c>
      <c r="P9" s="9">
        <v>6</v>
      </c>
      <c r="Q9" s="10" t="str">
        <f>R9/S9</f>
        <v>0.3333333333333333</v>
      </c>
      <c r="R9" s="9">
        <v>1</v>
      </c>
      <c r="S9" s="9">
        <v>3</v>
      </c>
      <c r="T9" s="9">
        <v>3</v>
      </c>
      <c r="U9" s="9">
        <v>3</v>
      </c>
      <c r="V9" s="10" t="str">
        <f>W9/X9</f>
        <v>0.3333333333333333</v>
      </c>
      <c r="W9" s="9">
        <v>1</v>
      </c>
      <c r="X9" s="9">
        <v>3</v>
      </c>
      <c r="Y9" s="9">
        <v>3</v>
      </c>
      <c r="Z9" s="9">
        <v>3</v>
      </c>
      <c r="AA9" s="10" t="str">
        <f>AB9/AC9</f>
        <v>0.25</v>
      </c>
      <c r="AB9" s="9">
        <v>1</v>
      </c>
      <c r="AC9" s="9">
        <v>4</v>
      </c>
      <c r="AD9" s="9">
        <v>4</v>
      </c>
      <c r="AE9" s="9">
        <v>4</v>
      </c>
      <c r="AF9" s="10" t="str">
        <f>AG9/AH9</f>
        <v>0</v>
      </c>
      <c r="AG9" s="9">
        <v>0</v>
      </c>
      <c r="AH9" s="9">
        <v>2</v>
      </c>
      <c r="AI9" s="9">
        <v>2</v>
      </c>
      <c r="AJ9" s="9">
        <v>2</v>
      </c>
      <c r="AK9" s="10" t="str">
        <f>AL9/AM9</f>
        <v>0</v>
      </c>
      <c r="AL9" s="9">
        <v>0</v>
      </c>
      <c r="AM9" s="9">
        <v>4</v>
      </c>
      <c r="AN9" s="9">
        <v>4</v>
      </c>
      <c r="AO9" s="9">
        <v>4</v>
      </c>
      <c r="AP9" s="10" t="str">
        <f>AQ9/AR9</f>
        <v>0</v>
      </c>
      <c r="AQ9" s="9">
        <v>0</v>
      </c>
      <c r="AR9" s="9">
        <v>1</v>
      </c>
      <c r="AS9" s="9">
        <v>1</v>
      </c>
      <c r="AT9" s="9">
        <v>1</v>
      </c>
      <c r="AU9" s="10" t="str">
        <f>AV9/AW9</f>
        <v>0</v>
      </c>
      <c r="AV9" s="9">
        <v>0</v>
      </c>
      <c r="AW9" s="9">
        <v>1</v>
      </c>
      <c r="AX9" s="9">
        <v>1</v>
      </c>
      <c r="AY9" s="9">
        <v>1</v>
      </c>
      <c r="AZ9" s="10" t="str">
        <f>BA9/BB9</f>
        <v>0</v>
      </c>
      <c r="BA9" s="9">
        <v>0</v>
      </c>
      <c r="BB9" s="9">
        <v>1</v>
      </c>
      <c r="BC9" s="9">
        <v>1</v>
      </c>
      <c r="BD9" s="9">
        <v>1</v>
      </c>
      <c r="BE9" s="10" t="str">
        <f>BF9/BG9</f>
        <v>0.6666666666666666</v>
      </c>
      <c r="BF9" s="9">
        <v>2</v>
      </c>
      <c r="BG9" s="9">
        <v>3</v>
      </c>
      <c r="BH9" s="9">
        <v>3</v>
      </c>
      <c r="BI9" s="9">
        <v>3</v>
      </c>
      <c r="BJ9" s="10" t="str">
        <f>BK9/BL9</f>
        <v>0.3333333333333333</v>
      </c>
      <c r="BK9" s="9">
        <v>1</v>
      </c>
      <c r="BL9" s="9">
        <v>3</v>
      </c>
      <c r="BM9" s="9">
        <v>3</v>
      </c>
      <c r="BN9" s="9">
        <v>3</v>
      </c>
      <c r="BO9" s="10" t="str">
        <f>BP9/BQ9</f>
        <v>0.25</v>
      </c>
      <c r="BP9" s="9">
        <v>2</v>
      </c>
      <c r="BQ9" s="9">
        <v>8</v>
      </c>
      <c r="BR9" s="9">
        <v>8</v>
      </c>
      <c r="BS9" s="9">
        <v>8</v>
      </c>
      <c r="BT9" s="10" t="str">
        <f>BU9/BV9</f>
        <v>0.2641509433962264</v>
      </c>
      <c r="BU9" s="9">
        <v>14</v>
      </c>
      <c r="BV9" s="9">
        <v>53</v>
      </c>
      <c r="BW9" s="9">
        <v>53</v>
      </c>
      <c r="BX9" s="9">
        <v>53</v>
      </c>
    </row>
    <row r="10">
      <c r="A10" s="5" t="s">
        <v>98</v>
      </c>
      <c r="B10" s="10" t="str">
        <f>C10/D10</f>
        <v>0.4444444444444444</v>
      </c>
      <c r="C10" s="9">
        <v>4</v>
      </c>
      <c r="D10" s="9">
        <v>9</v>
      </c>
      <c r="E10" s="9">
        <v>9</v>
      </c>
      <c r="F10" s="9">
        <v>9</v>
      </c>
      <c r="G10" s="10" t="str">
        <f>H10/I10</f>
        <v>0.2</v>
      </c>
      <c r="H10" s="9">
        <v>1</v>
      </c>
      <c r="I10" s="9">
        <v>5</v>
      </c>
      <c r="J10" s="9">
        <v>5</v>
      </c>
      <c r="K10" s="9">
        <v>5</v>
      </c>
      <c r="L10" s="10" t="str">
        <f>M10/N10</f>
        <v>0</v>
      </c>
      <c r="M10" s="9">
        <v>0</v>
      </c>
      <c r="N10" s="9">
        <v>2</v>
      </c>
      <c r="O10" s="9">
        <v>2</v>
      </c>
      <c r="P10" s="9">
        <v>2</v>
      </c>
      <c r="Q10" s="10" t="str">
        <f>R10/S10</f>
        <v>0.5</v>
      </c>
      <c r="R10" s="9">
        <v>1</v>
      </c>
      <c r="S10" s="9">
        <v>2</v>
      </c>
      <c r="T10" s="9">
        <v>2</v>
      </c>
      <c r="U10" s="9">
        <v>2</v>
      </c>
      <c r="V10" s="10" t="str">
        <f>W10/X10</f>
        <v>0.4</v>
      </c>
      <c r="W10" s="9">
        <v>2</v>
      </c>
      <c r="X10" s="9">
        <v>5</v>
      </c>
      <c r="Y10" s="9">
        <v>5</v>
      </c>
      <c r="Z10" s="9">
        <v>5</v>
      </c>
      <c r="AA10" s="10" t="str">
        <f>AB10/AC10</f>
        <v>0.25</v>
      </c>
      <c r="AB10" s="9">
        <v>1</v>
      </c>
      <c r="AC10" s="9">
        <v>4</v>
      </c>
      <c r="AD10" s="9">
        <v>4</v>
      </c>
      <c r="AE10" s="9">
        <v>4</v>
      </c>
      <c r="AF10" s="10" t="str">
        <f>AG10/AH10</f>
        <v>0</v>
      </c>
      <c r="AG10" s="9">
        <v>0</v>
      </c>
      <c r="AH10" s="9">
        <v>4</v>
      </c>
      <c r="AI10" s="9">
        <v>4</v>
      </c>
      <c r="AJ10" s="9">
        <v>4</v>
      </c>
      <c r="AK10" s="10" t="str">
        <f>AL10/AM10</f>
        <v>0</v>
      </c>
      <c r="AL10" s="9">
        <v>0</v>
      </c>
      <c r="AM10" s="9">
        <v>3</v>
      </c>
      <c r="AN10" s="9">
        <v>3</v>
      </c>
      <c r="AO10" s="9">
        <v>3</v>
      </c>
      <c r="AP10" s="10" t="str">
        <f>AQ10/AR10</f>
        <v>0.2</v>
      </c>
      <c r="AQ10" s="9">
        <v>1</v>
      </c>
      <c r="AR10" s="9">
        <v>5</v>
      </c>
      <c r="AS10" s="9">
        <v>5</v>
      </c>
      <c r="AT10" s="9">
        <v>5</v>
      </c>
      <c r="AU10" s="10" t="str">
        <f>AV10/AW10</f>
        <v>0</v>
      </c>
      <c r="AV10" s="9">
        <v>0</v>
      </c>
      <c r="AW10" s="9">
        <v>2</v>
      </c>
      <c r="AX10" s="9">
        <v>2</v>
      </c>
      <c r="AY10" s="9">
        <v>2</v>
      </c>
      <c r="AZ10" s="10" t="str">
        <f>BA10/BB10</f>
        <v>0</v>
      </c>
      <c r="BA10" s="9">
        <v>0</v>
      </c>
      <c r="BB10" s="9">
        <v>1</v>
      </c>
      <c r="BC10" s="9">
        <v>1</v>
      </c>
      <c r="BD10" s="9">
        <v>1</v>
      </c>
      <c r="BE10" s="10" t="str">
        <f>BF10/BG10</f>
        <v>0</v>
      </c>
      <c r="BF10" s="9">
        <v>0</v>
      </c>
      <c r="BG10" s="9">
        <v>1</v>
      </c>
      <c r="BH10" s="9">
        <v>1</v>
      </c>
      <c r="BI10" s="9">
        <v>1</v>
      </c>
      <c r="BJ10" s="10" t="str">
        <f>BK10/BL10</f>
        <v>0.6666666666666666</v>
      </c>
      <c r="BK10" s="9">
        <v>2</v>
      </c>
      <c r="BL10" s="9">
        <v>3</v>
      </c>
      <c r="BM10" s="9">
        <v>3</v>
      </c>
      <c r="BN10" s="9">
        <v>3</v>
      </c>
      <c r="BO10" s="10" t="str">
        <f>BP10/BQ10</f>
        <v>0.2857142857142857</v>
      </c>
      <c r="BP10" s="9">
        <v>2</v>
      </c>
      <c r="BQ10" s="9">
        <v>7</v>
      </c>
      <c r="BR10" s="9">
        <v>7</v>
      </c>
      <c r="BS10" s="9">
        <v>7</v>
      </c>
      <c r="BT10" s="10" t="str">
        <f>BU10/BV10</f>
        <v>0.2641509433962264</v>
      </c>
      <c r="BU10" s="9">
        <v>14</v>
      </c>
      <c r="BV10" s="9">
        <v>53</v>
      </c>
      <c r="BW10" s="9">
        <v>53</v>
      </c>
      <c r="BX10" s="9">
        <v>53</v>
      </c>
    </row>
    <row r="11">
      <c r="A11" s="5" t="s">
        <v>99</v>
      </c>
      <c r="B11" s="10" t="str">
        <f>C11/D11</f>
        <v>0.2857142857142857</v>
      </c>
      <c r="C11" s="9">
        <v>2</v>
      </c>
      <c r="D11" s="9">
        <v>7</v>
      </c>
      <c r="E11" s="9">
        <v>7</v>
      </c>
      <c r="F11" s="9">
        <v>7</v>
      </c>
      <c r="G11" s="10" t="str">
        <f>H11/I11</f>
        <v>0</v>
      </c>
      <c r="H11" s="9">
        <v>0</v>
      </c>
      <c r="I11" s="9">
        <v>1</v>
      </c>
      <c r="J11" s="9">
        <v>1</v>
      </c>
      <c r="K11" s="9">
        <v>1</v>
      </c>
      <c r="L11" s="10" t="str">
        <f>M11/N11</f>
        <v>0</v>
      </c>
      <c r="M11" s="9">
        <v>0</v>
      </c>
      <c r="N11" s="9">
        <v>1</v>
      </c>
      <c r="O11" s="9">
        <v>1</v>
      </c>
      <c r="P11" s="9">
        <v>1</v>
      </c>
      <c r="Q11" s="10" t="str">
        <f>R11/S11</f>
        <v>0</v>
      </c>
      <c r="R11" s="9">
        <v>0</v>
      </c>
      <c r="S11" s="9">
        <v>3</v>
      </c>
      <c r="T11" s="9">
        <v>3</v>
      </c>
      <c r="U11" s="9">
        <v>3</v>
      </c>
      <c r="V11" s="10" t="str">
        <f>W11/X11</f>
        <v>0</v>
      </c>
      <c r="W11" s="9">
        <v>0</v>
      </c>
      <c r="X11" s="9">
        <v>1</v>
      </c>
      <c r="Y11" s="9">
        <v>1</v>
      </c>
      <c r="Z11" s="9">
        <v>1</v>
      </c>
      <c r="AA11" s="7" t="s">
        <v>100</v>
      </c>
      <c r="AD11" s="7" t="s">
        <v>100</v>
      </c>
      <c r="AF11" s="10" t="str">
        <f>AG11/AH11</f>
        <v>1</v>
      </c>
      <c r="AG11" s="9">
        <v>1</v>
      </c>
      <c r="AH11" s="9">
        <v>1</v>
      </c>
      <c r="AI11" s="9">
        <v>1</v>
      </c>
      <c r="AJ11" s="9">
        <v>1</v>
      </c>
      <c r="AK11" s="10" t="str">
        <f>AL11/AM11</f>
        <v>0.3333333333333333</v>
      </c>
      <c r="AL11" s="9">
        <v>1</v>
      </c>
      <c r="AM11" s="9">
        <v>3</v>
      </c>
      <c r="AN11" s="9">
        <v>3</v>
      </c>
      <c r="AO11" s="9">
        <v>3</v>
      </c>
      <c r="AP11" s="10" t="str">
        <f>AQ11/AR11</f>
        <v>0.5</v>
      </c>
      <c r="AQ11" s="9">
        <v>1</v>
      </c>
      <c r="AR11" s="9">
        <v>2</v>
      </c>
      <c r="AS11" s="9">
        <v>2</v>
      </c>
      <c r="AT11" s="9">
        <v>2</v>
      </c>
      <c r="AU11" s="10" t="str">
        <f>AV11/AW11</f>
        <v>0.5</v>
      </c>
      <c r="AV11" s="9">
        <v>1</v>
      </c>
      <c r="AW11" s="9">
        <v>2</v>
      </c>
      <c r="AX11" s="9">
        <v>2</v>
      </c>
      <c r="AY11" s="9">
        <v>2</v>
      </c>
      <c r="AZ11" s="10" t="str">
        <f>BA11/BB11</f>
        <v>0.5</v>
      </c>
      <c r="BA11" s="9">
        <v>1</v>
      </c>
      <c r="BB11" s="9">
        <v>2</v>
      </c>
      <c r="BC11" s="9">
        <v>2</v>
      </c>
      <c r="BD11" s="9">
        <v>2</v>
      </c>
      <c r="BE11" s="7" t="s">
        <v>100</v>
      </c>
      <c r="BH11" s="7" t="s">
        <v>100</v>
      </c>
      <c r="BJ11" s="7" t="s">
        <v>100</v>
      </c>
      <c r="BM11" s="7" t="s">
        <v>100</v>
      </c>
      <c r="BO11" s="10" t="str">
        <f>BP11/BQ11</f>
        <v>0</v>
      </c>
      <c r="BP11" s="9">
        <v>0</v>
      </c>
      <c r="BQ11" s="9">
        <v>4</v>
      </c>
      <c r="BR11" s="9">
        <v>4</v>
      </c>
      <c r="BS11" s="9">
        <v>4</v>
      </c>
      <c r="BT11" s="10" t="str">
        <f>BU11/BV11</f>
        <v>0.25925925925925924</v>
      </c>
      <c r="BU11" s="9">
        <v>7</v>
      </c>
      <c r="BV11" s="9">
        <v>27</v>
      </c>
      <c r="BW11" s="9">
        <v>27</v>
      </c>
      <c r="BX11" s="9">
        <v>27</v>
      </c>
    </row>
    <row r="12">
      <c r="A12" s="5" t="s">
        <v>101</v>
      </c>
      <c r="B12" s="10" t="str">
        <f>C12/D12</f>
        <v>0.8</v>
      </c>
      <c r="C12" s="9">
        <v>4</v>
      </c>
      <c r="D12" s="9">
        <v>5</v>
      </c>
      <c r="E12" s="9">
        <v>5</v>
      </c>
      <c r="F12" s="9">
        <v>5</v>
      </c>
      <c r="G12" s="10" t="str">
        <f>H12/I12</f>
        <v>0.5</v>
      </c>
      <c r="H12" s="9">
        <v>1</v>
      </c>
      <c r="I12" s="9">
        <v>2</v>
      </c>
      <c r="J12" s="9">
        <v>2</v>
      </c>
      <c r="K12" s="9">
        <v>2</v>
      </c>
      <c r="L12" s="7" t="s">
        <v>100</v>
      </c>
      <c r="O12" s="7" t="s">
        <v>100</v>
      </c>
      <c r="Q12" s="10" t="str">
        <f>R12/S12</f>
        <v>0</v>
      </c>
      <c r="R12" s="9">
        <v>0</v>
      </c>
      <c r="S12" s="9">
        <v>2</v>
      </c>
      <c r="T12" s="9">
        <v>2</v>
      </c>
      <c r="U12" s="9">
        <v>2</v>
      </c>
      <c r="V12" s="10" t="str">
        <f>W12/X12</f>
        <v>0.3333333333333333</v>
      </c>
      <c r="W12" s="9">
        <v>1</v>
      </c>
      <c r="X12" s="9">
        <v>3</v>
      </c>
      <c r="Y12" s="9">
        <v>3</v>
      </c>
      <c r="Z12" s="9">
        <v>3</v>
      </c>
      <c r="AA12" s="10" t="str">
        <f>AB12/AC12</f>
        <v>1</v>
      </c>
      <c r="AB12" s="9">
        <v>1</v>
      </c>
      <c r="AC12" s="9">
        <v>1</v>
      </c>
      <c r="AD12" s="9">
        <v>1</v>
      </c>
      <c r="AE12" s="9">
        <v>1</v>
      </c>
      <c r="AF12" s="10" t="str">
        <f>AG12/AH12</f>
        <v>0</v>
      </c>
      <c r="AG12" s="9">
        <v>0</v>
      </c>
      <c r="AH12" s="9">
        <v>1</v>
      </c>
      <c r="AI12" s="9">
        <v>1</v>
      </c>
      <c r="AJ12" s="9">
        <v>1</v>
      </c>
      <c r="AK12" s="7" t="s">
        <v>100</v>
      </c>
      <c r="AN12" s="7" t="s">
        <v>100</v>
      </c>
      <c r="AP12" s="7" t="s">
        <v>100</v>
      </c>
      <c r="AS12" s="7" t="s">
        <v>100</v>
      </c>
      <c r="AU12" s="10" t="str">
        <f>AV12/AW12</f>
        <v>0.5</v>
      </c>
      <c r="AV12" s="9">
        <v>2</v>
      </c>
      <c r="AW12" s="9">
        <v>4</v>
      </c>
      <c r="AX12" s="9">
        <v>4</v>
      </c>
      <c r="AY12" s="9">
        <v>4</v>
      </c>
      <c r="AZ12" s="10" t="str">
        <f>BA12/BB12</f>
        <v>1</v>
      </c>
      <c r="BA12" s="9">
        <v>1</v>
      </c>
      <c r="BB12" s="9">
        <v>1</v>
      </c>
      <c r="BC12" s="9">
        <v>1</v>
      </c>
      <c r="BD12" s="9">
        <v>1</v>
      </c>
      <c r="BE12" s="7" t="s">
        <v>100</v>
      </c>
      <c r="BH12" s="7" t="s">
        <v>100</v>
      </c>
      <c r="BJ12" s="7" t="s">
        <v>100</v>
      </c>
      <c r="BM12" s="7" t="s">
        <v>100</v>
      </c>
      <c r="BO12" s="10" t="str">
        <f>BP12/BQ12</f>
        <v>0</v>
      </c>
      <c r="BP12" s="9">
        <v>0</v>
      </c>
      <c r="BQ12" s="9">
        <v>3</v>
      </c>
      <c r="BR12" s="9">
        <v>3</v>
      </c>
      <c r="BS12" s="9">
        <v>3</v>
      </c>
      <c r="BT12" s="10" t="str">
        <f>BU12/BV12</f>
        <v>0.45454545454545453</v>
      </c>
      <c r="BU12" s="9">
        <v>10</v>
      </c>
      <c r="BV12" s="9">
        <v>22</v>
      </c>
      <c r="BW12" s="9">
        <v>22</v>
      </c>
      <c r="BX12" s="9">
        <v>22</v>
      </c>
    </row>
    <row r="13">
      <c r="A13" s="5" t="s">
        <v>102</v>
      </c>
      <c r="B13" s="10" t="str">
        <f>C13/D13</f>
        <v>0.3333333333333333</v>
      </c>
      <c r="C13" s="9">
        <v>1</v>
      </c>
      <c r="D13" s="9">
        <v>3</v>
      </c>
      <c r="E13" s="9">
        <v>3</v>
      </c>
      <c r="F13" s="9">
        <v>3</v>
      </c>
      <c r="G13" s="10" t="str">
        <f>H13/I13</f>
        <v>1</v>
      </c>
      <c r="H13" s="9">
        <v>2</v>
      </c>
      <c r="I13" s="9">
        <v>2</v>
      </c>
      <c r="J13" s="9">
        <v>2</v>
      </c>
      <c r="K13" s="9">
        <v>2</v>
      </c>
      <c r="L13" s="10" t="str">
        <f>M13/N13</f>
        <v>0.5</v>
      </c>
      <c r="M13" s="9">
        <v>1</v>
      </c>
      <c r="N13" s="9">
        <v>2</v>
      </c>
      <c r="O13" s="9">
        <v>2</v>
      </c>
      <c r="P13" s="9">
        <v>2</v>
      </c>
      <c r="Q13" s="10" t="str">
        <f>R13/S13</f>
        <v>1</v>
      </c>
      <c r="R13" s="9">
        <v>1</v>
      </c>
      <c r="S13" s="9">
        <v>1</v>
      </c>
      <c r="T13" s="9">
        <v>1</v>
      </c>
      <c r="U13" s="9">
        <v>1</v>
      </c>
      <c r="V13" s="7" t="s">
        <v>100</v>
      </c>
      <c r="Y13" s="7" t="s">
        <v>100</v>
      </c>
      <c r="AA13" s="10" t="str">
        <f>AB13/AC13</f>
        <v>0</v>
      </c>
      <c r="AB13" s="9">
        <v>0</v>
      </c>
      <c r="AC13" s="9">
        <v>2</v>
      </c>
      <c r="AD13" s="9">
        <v>2</v>
      </c>
      <c r="AE13" s="9">
        <v>2</v>
      </c>
      <c r="AF13" s="10" t="str">
        <f>AG13/AH13</f>
        <v>0.3333333333333333</v>
      </c>
      <c r="AG13" s="9">
        <v>1</v>
      </c>
      <c r="AH13" s="9">
        <v>3</v>
      </c>
      <c r="AI13" s="9">
        <v>3</v>
      </c>
      <c r="AJ13" s="9">
        <v>3</v>
      </c>
      <c r="AK13" s="7" t="s">
        <v>100</v>
      </c>
      <c r="AN13" s="7" t="s">
        <v>100</v>
      </c>
      <c r="AP13" s="7" t="s">
        <v>100</v>
      </c>
      <c r="AS13" s="7" t="s">
        <v>100</v>
      </c>
      <c r="AU13" s="7" t="s">
        <v>100</v>
      </c>
      <c r="AX13" s="7" t="s">
        <v>100</v>
      </c>
      <c r="AZ13" s="10" t="str">
        <f>BA13/BB13</f>
        <v>0</v>
      </c>
      <c r="BA13" s="9">
        <v>0</v>
      </c>
      <c r="BB13" s="9">
        <v>1</v>
      </c>
      <c r="BC13" s="9">
        <v>1</v>
      </c>
      <c r="BD13" s="9">
        <v>1</v>
      </c>
      <c r="BE13" s="7" t="s">
        <v>100</v>
      </c>
      <c r="BH13" s="7" t="s">
        <v>100</v>
      </c>
      <c r="BJ13" s="7" t="s">
        <v>100</v>
      </c>
      <c r="BM13" s="7" t="s">
        <v>100</v>
      </c>
      <c r="BO13" s="10" t="str">
        <f>BP13/BQ13</f>
        <v>0.16666666666666666</v>
      </c>
      <c r="BP13" s="9">
        <v>1</v>
      </c>
      <c r="BQ13" s="9">
        <v>6</v>
      </c>
      <c r="BR13" s="9">
        <v>6</v>
      </c>
      <c r="BS13" s="9">
        <v>6</v>
      </c>
      <c r="BT13" s="10" t="str">
        <f>BU13/BV13</f>
        <v>0.35</v>
      </c>
      <c r="BU13" s="9">
        <v>7</v>
      </c>
      <c r="BV13" s="9">
        <v>20</v>
      </c>
      <c r="BW13" s="9">
        <v>20</v>
      </c>
      <c r="BX13" s="9">
        <v>20</v>
      </c>
    </row>
    <row r="14">
      <c r="A14" s="5" t="s">
        <v>103</v>
      </c>
      <c r="B14" s="10" t="str">
        <f>C14/D14</f>
        <v>0</v>
      </c>
      <c r="C14" s="9">
        <v>0</v>
      </c>
      <c r="D14" s="9">
        <v>2</v>
      </c>
      <c r="E14" s="9">
        <v>2</v>
      </c>
      <c r="F14" s="9">
        <v>2</v>
      </c>
      <c r="G14" s="10" t="str">
        <f>H14/I14</f>
        <v>0.3333333333333333</v>
      </c>
      <c r="H14" s="9">
        <v>1</v>
      </c>
      <c r="I14" s="9">
        <v>3</v>
      </c>
      <c r="J14" s="9">
        <v>3</v>
      </c>
      <c r="K14" s="9">
        <v>3</v>
      </c>
      <c r="L14" s="10" t="str">
        <f>M14/N14</f>
        <v>0</v>
      </c>
      <c r="M14" s="9">
        <v>0</v>
      </c>
      <c r="N14" s="9">
        <v>1</v>
      </c>
      <c r="O14" s="9">
        <v>1</v>
      </c>
      <c r="P14" s="9">
        <v>1</v>
      </c>
      <c r="Q14" s="10" t="str">
        <f>R14/S14</f>
        <v>0</v>
      </c>
      <c r="R14" s="9">
        <v>0</v>
      </c>
      <c r="S14" s="9">
        <v>2</v>
      </c>
      <c r="T14" s="9">
        <v>2</v>
      </c>
      <c r="U14" s="9">
        <v>2</v>
      </c>
      <c r="V14" s="7" t="s">
        <v>100</v>
      </c>
      <c r="Y14" s="7" t="s">
        <v>100</v>
      </c>
      <c r="AA14" s="10" t="str">
        <f>AB14/AC14</f>
        <v>1</v>
      </c>
      <c r="AB14" s="9">
        <v>1</v>
      </c>
      <c r="AC14" s="9">
        <v>1</v>
      </c>
      <c r="AD14" s="9">
        <v>1</v>
      </c>
      <c r="AE14" s="9">
        <v>1</v>
      </c>
      <c r="AF14" s="10" t="str">
        <f>AG14/AH14</f>
        <v>0</v>
      </c>
      <c r="AG14" s="9">
        <v>0</v>
      </c>
      <c r="AH14" s="9">
        <v>1</v>
      </c>
      <c r="AI14" s="9">
        <v>1</v>
      </c>
      <c r="AJ14" s="9">
        <v>1</v>
      </c>
      <c r="AK14" s="10" t="str">
        <f>AL14/AM14</f>
        <v>0</v>
      </c>
      <c r="AL14" s="9">
        <v>0</v>
      </c>
      <c r="AM14" s="9">
        <v>1</v>
      </c>
      <c r="AN14" s="9">
        <v>1</v>
      </c>
      <c r="AO14" s="9">
        <v>1</v>
      </c>
      <c r="AP14" s="7" t="s">
        <v>100</v>
      </c>
      <c r="AS14" s="7" t="s">
        <v>100</v>
      </c>
      <c r="AU14" s="10" t="str">
        <f>AV14/AW14</f>
        <v>0</v>
      </c>
      <c r="AV14" s="9">
        <v>0</v>
      </c>
      <c r="AW14" s="9">
        <v>2</v>
      </c>
      <c r="AX14" s="9">
        <v>2</v>
      </c>
      <c r="AY14" s="9">
        <v>2</v>
      </c>
      <c r="AZ14" s="10" t="str">
        <f>BA14/BB14</f>
        <v>0</v>
      </c>
      <c r="BA14" s="9">
        <v>0</v>
      </c>
      <c r="BB14" s="9">
        <v>1</v>
      </c>
      <c r="BC14" s="9">
        <v>1</v>
      </c>
      <c r="BD14" s="9">
        <v>1</v>
      </c>
      <c r="BE14" s="10" t="str">
        <f>BF14/BG14</f>
        <v>0</v>
      </c>
      <c r="BF14" s="9">
        <v>0</v>
      </c>
      <c r="BG14" s="9">
        <v>2</v>
      </c>
      <c r="BH14" s="9">
        <v>2</v>
      </c>
      <c r="BI14" s="9">
        <v>2</v>
      </c>
      <c r="BJ14" s="7" t="s">
        <v>100</v>
      </c>
      <c r="BM14" s="7" t="s">
        <v>100</v>
      </c>
      <c r="BO14" s="10" t="str">
        <f>BP14/BQ14</f>
        <v>0.3333333333333333</v>
      </c>
      <c r="BP14" s="9">
        <v>1</v>
      </c>
      <c r="BQ14" s="9">
        <v>3</v>
      </c>
      <c r="BR14" s="9">
        <v>3</v>
      </c>
      <c r="BS14" s="9">
        <v>3</v>
      </c>
      <c r="BT14" s="10" t="str">
        <f>BU14/BV14</f>
        <v>0.15789473684210525</v>
      </c>
      <c r="BU14" s="9">
        <v>3</v>
      </c>
      <c r="BV14" s="9">
        <v>19</v>
      </c>
      <c r="BW14" s="9">
        <v>19</v>
      </c>
      <c r="BX14" s="9">
        <v>19</v>
      </c>
    </row>
    <row r="15">
      <c r="A15" s="5" t="s">
        <v>104</v>
      </c>
      <c r="B15" s="10" t="str">
        <f>C15/D15</f>
        <v>0.5</v>
      </c>
      <c r="C15" s="9">
        <v>1</v>
      </c>
      <c r="D15" s="9">
        <v>2</v>
      </c>
      <c r="E15" s="9">
        <v>2</v>
      </c>
      <c r="F15" s="9">
        <v>2</v>
      </c>
      <c r="G15" s="7" t="s">
        <v>100</v>
      </c>
      <c r="J15" s="7" t="s">
        <v>100</v>
      </c>
      <c r="L15" s="10" t="str">
        <f>M15/N15</f>
        <v>0</v>
      </c>
      <c r="M15" s="9">
        <v>0</v>
      </c>
      <c r="N15" s="9">
        <v>2</v>
      </c>
      <c r="O15" s="9">
        <v>2</v>
      </c>
      <c r="P15" s="9">
        <v>2</v>
      </c>
      <c r="Q15" s="10" t="str">
        <f>R15/S15</f>
        <v>0.6666666666666666</v>
      </c>
      <c r="R15" s="9">
        <v>2</v>
      </c>
      <c r="S15" s="9">
        <v>3</v>
      </c>
      <c r="T15" s="9">
        <v>3</v>
      </c>
      <c r="U15" s="9">
        <v>3</v>
      </c>
      <c r="V15" s="7" t="s">
        <v>100</v>
      </c>
      <c r="Y15" s="7" t="s">
        <v>100</v>
      </c>
      <c r="AA15" s="7" t="s">
        <v>100</v>
      </c>
      <c r="AD15" s="7" t="s">
        <v>100</v>
      </c>
      <c r="AF15" s="7" t="s">
        <v>100</v>
      </c>
      <c r="AI15" s="7" t="s">
        <v>100</v>
      </c>
      <c r="AK15" s="10" t="str">
        <f>AL15/AM15</f>
        <v>0</v>
      </c>
      <c r="AL15" s="9">
        <v>0</v>
      </c>
      <c r="AM15" s="9">
        <v>1</v>
      </c>
      <c r="AN15" s="9">
        <v>1</v>
      </c>
      <c r="AO15" s="9">
        <v>1</v>
      </c>
      <c r="AP15" s="10" t="str">
        <f>AQ15/AR15</f>
        <v>0</v>
      </c>
      <c r="AQ15" s="9">
        <v>0</v>
      </c>
      <c r="AR15" s="9">
        <v>2</v>
      </c>
      <c r="AS15" s="9">
        <v>2</v>
      </c>
      <c r="AT15" s="9">
        <v>2</v>
      </c>
      <c r="AU15" s="10" t="str">
        <f>AV15/AW15</f>
        <v>1</v>
      </c>
      <c r="AV15" s="9">
        <v>1</v>
      </c>
      <c r="AW15" s="9">
        <v>1</v>
      </c>
      <c r="AX15" s="9">
        <v>1</v>
      </c>
      <c r="AY15" s="9">
        <v>1</v>
      </c>
      <c r="AZ15" s="10" t="str">
        <f>BA15/BB15</f>
        <v>0</v>
      </c>
      <c r="BA15" s="9">
        <v>0</v>
      </c>
      <c r="BB15" s="9">
        <v>2</v>
      </c>
      <c r="BC15" s="9">
        <v>2</v>
      </c>
      <c r="BD15" s="9">
        <v>2</v>
      </c>
      <c r="BE15" s="10" t="str">
        <f>BF15/BG15</f>
        <v>0</v>
      </c>
      <c r="BF15" s="9">
        <v>0</v>
      </c>
      <c r="BG15" s="9">
        <v>1</v>
      </c>
      <c r="BH15" s="9">
        <v>1</v>
      </c>
      <c r="BI15" s="9">
        <v>1</v>
      </c>
      <c r="BJ15" s="10" t="str">
        <f>BK15/BL15</f>
        <v>0.5</v>
      </c>
      <c r="BK15" s="9">
        <v>1</v>
      </c>
      <c r="BL15" s="9">
        <v>2</v>
      </c>
      <c r="BM15" s="9">
        <v>2</v>
      </c>
      <c r="BN15" s="9">
        <v>2</v>
      </c>
      <c r="BO15" s="10" t="str">
        <f>BP15/BQ15</f>
        <v>0</v>
      </c>
      <c r="BP15" s="9">
        <v>0</v>
      </c>
      <c r="BQ15" s="9">
        <v>1</v>
      </c>
      <c r="BR15" s="9">
        <v>1</v>
      </c>
      <c r="BS15" s="9">
        <v>1</v>
      </c>
      <c r="BT15" s="10" t="str">
        <f>BU15/BV15</f>
        <v>0.29411764705882354</v>
      </c>
      <c r="BU15" s="9">
        <v>5</v>
      </c>
      <c r="BV15" s="9">
        <v>17</v>
      </c>
      <c r="BW15" s="9">
        <v>17</v>
      </c>
      <c r="BX15" s="9">
        <v>17</v>
      </c>
    </row>
    <row r="16">
      <c r="A16" s="5" t="s">
        <v>105</v>
      </c>
      <c r="B16" s="10" t="str">
        <f>C16/D16</f>
        <v>1</v>
      </c>
      <c r="C16" s="9">
        <v>1</v>
      </c>
      <c r="D16" s="9">
        <v>1</v>
      </c>
      <c r="E16" s="9">
        <v>1</v>
      </c>
      <c r="F16" s="9">
        <v>1</v>
      </c>
      <c r="G16" s="10" t="str">
        <f>H16/I16</f>
        <v>0.5</v>
      </c>
      <c r="H16" s="9">
        <v>1</v>
      </c>
      <c r="I16" s="9">
        <v>2</v>
      </c>
      <c r="J16" s="9">
        <v>2</v>
      </c>
      <c r="K16" s="9">
        <v>2</v>
      </c>
      <c r="L16" s="10" t="str">
        <f>M16/N16</f>
        <v>0</v>
      </c>
      <c r="M16" s="9">
        <v>0</v>
      </c>
      <c r="N16" s="9">
        <v>2</v>
      </c>
      <c r="O16" s="9">
        <v>2</v>
      </c>
      <c r="P16" s="9">
        <v>2</v>
      </c>
      <c r="Q16" s="10" t="str">
        <f>R16/S16</f>
        <v>0</v>
      </c>
      <c r="R16" s="9">
        <v>0</v>
      </c>
      <c r="S16" s="9">
        <v>1</v>
      </c>
      <c r="T16" s="9">
        <v>1</v>
      </c>
      <c r="U16" s="9">
        <v>1</v>
      </c>
      <c r="V16" s="10" t="str">
        <f>W16/X16</f>
        <v>0</v>
      </c>
      <c r="W16" s="9">
        <v>0</v>
      </c>
      <c r="X16" s="9">
        <v>2</v>
      </c>
      <c r="Y16" s="9">
        <v>2</v>
      </c>
      <c r="Z16" s="9">
        <v>2</v>
      </c>
      <c r="AA16" s="7" t="s">
        <v>100</v>
      </c>
      <c r="AD16" s="7" t="s">
        <v>100</v>
      </c>
      <c r="AF16" s="7" t="s">
        <v>100</v>
      </c>
      <c r="AI16" s="7" t="s">
        <v>100</v>
      </c>
      <c r="AK16" s="10" t="str">
        <f>AL16/AM16</f>
        <v>0</v>
      </c>
      <c r="AL16" s="9">
        <v>0</v>
      </c>
      <c r="AM16" s="9">
        <v>1</v>
      </c>
      <c r="AN16" s="9">
        <v>1</v>
      </c>
      <c r="AO16" s="9">
        <v>1</v>
      </c>
      <c r="AP16" s="10" t="str">
        <f>AQ16/AR16</f>
        <v>0.5</v>
      </c>
      <c r="AQ16" s="9">
        <v>1</v>
      </c>
      <c r="AR16" s="9">
        <v>2</v>
      </c>
      <c r="AS16" s="9">
        <v>2</v>
      </c>
      <c r="AT16" s="9">
        <v>2</v>
      </c>
      <c r="AU16" s="7" t="s">
        <v>100</v>
      </c>
      <c r="AX16" s="7" t="s">
        <v>100</v>
      </c>
      <c r="AZ16" s="10" t="str">
        <f>BA16/BB16</f>
        <v>0</v>
      </c>
      <c r="BA16" s="9">
        <v>0</v>
      </c>
      <c r="BB16" s="9">
        <v>2</v>
      </c>
      <c r="BC16" s="9">
        <v>2</v>
      </c>
      <c r="BD16" s="9">
        <v>2</v>
      </c>
      <c r="BE16" s="7" t="s">
        <v>100</v>
      </c>
      <c r="BH16" s="7" t="s">
        <v>100</v>
      </c>
      <c r="BJ16" s="7" t="s">
        <v>100</v>
      </c>
      <c r="BM16" s="7" t="s">
        <v>100</v>
      </c>
      <c r="BO16" s="10" t="str">
        <f>BP16/BQ16</f>
        <v>0.5</v>
      </c>
      <c r="BP16" s="9">
        <v>1</v>
      </c>
      <c r="BQ16" s="9">
        <v>2</v>
      </c>
      <c r="BR16" s="9">
        <v>2</v>
      </c>
      <c r="BS16" s="9">
        <v>2</v>
      </c>
      <c r="BT16" s="10" t="str">
        <f>BU16/BV16</f>
        <v>0.26666666666666666</v>
      </c>
      <c r="BU16" s="9">
        <v>4</v>
      </c>
      <c r="BV16" s="9">
        <v>15</v>
      </c>
      <c r="BW16" s="9">
        <v>15</v>
      </c>
      <c r="BX16" s="9">
        <v>15</v>
      </c>
    </row>
    <row r="17">
      <c r="A17" s="5" t="s">
        <v>106</v>
      </c>
      <c r="B17" s="10" t="str">
        <f>C17/D17</f>
        <v>1</v>
      </c>
      <c r="C17" s="9">
        <v>1</v>
      </c>
      <c r="D17" s="9">
        <v>1</v>
      </c>
      <c r="E17" s="9">
        <v>1</v>
      </c>
      <c r="F17" s="9">
        <v>1</v>
      </c>
      <c r="G17" s="10" t="str">
        <f>H17/I17</f>
        <v>0</v>
      </c>
      <c r="H17" s="9">
        <v>0</v>
      </c>
      <c r="I17" s="9">
        <v>2</v>
      </c>
      <c r="J17" s="9">
        <v>2</v>
      </c>
      <c r="K17" s="9">
        <v>2</v>
      </c>
      <c r="L17" s="10" t="str">
        <f>M17/N17</f>
        <v>0</v>
      </c>
      <c r="M17" s="9">
        <v>0</v>
      </c>
      <c r="N17" s="9">
        <v>1</v>
      </c>
      <c r="O17" s="9">
        <v>1</v>
      </c>
      <c r="P17" s="9">
        <v>1</v>
      </c>
      <c r="Q17" s="7" t="s">
        <v>100</v>
      </c>
      <c r="T17" s="7" t="s">
        <v>100</v>
      </c>
      <c r="V17" s="7" t="s">
        <v>100</v>
      </c>
      <c r="Y17" s="7" t="s">
        <v>100</v>
      </c>
      <c r="AA17" s="10" t="str">
        <f>AB17/AC17</f>
        <v>1</v>
      </c>
      <c r="AB17" s="9">
        <v>1</v>
      </c>
      <c r="AC17" s="9">
        <v>1</v>
      </c>
      <c r="AD17" s="9">
        <v>1</v>
      </c>
      <c r="AE17" s="9">
        <v>1</v>
      </c>
      <c r="AF17" s="10" t="str">
        <f>AG17/AH17</f>
        <v>0.6666666666666666</v>
      </c>
      <c r="AG17" s="9">
        <v>2</v>
      </c>
      <c r="AH17" s="9">
        <v>3</v>
      </c>
      <c r="AI17" s="9">
        <v>3</v>
      </c>
      <c r="AJ17" s="9">
        <v>3</v>
      </c>
      <c r="AK17" s="10" t="str">
        <f>AL17/AM17</f>
        <v>0</v>
      </c>
      <c r="AL17" s="9">
        <v>0</v>
      </c>
      <c r="AM17" s="9">
        <v>1</v>
      </c>
      <c r="AN17" s="9">
        <v>1</v>
      </c>
      <c r="AO17" s="9">
        <v>1</v>
      </c>
      <c r="AP17" s="10" t="str">
        <f>AQ17/AR17</f>
        <v>0</v>
      </c>
      <c r="AQ17" s="9">
        <v>0</v>
      </c>
      <c r="AR17" s="9">
        <v>1</v>
      </c>
      <c r="AS17" s="9">
        <v>1</v>
      </c>
      <c r="AT17" s="9">
        <v>1</v>
      </c>
      <c r="AU17" s="10" t="str">
        <f>AV17/AW17</f>
        <v>0</v>
      </c>
      <c r="AV17" s="9">
        <v>0</v>
      </c>
      <c r="AW17" s="9">
        <v>1</v>
      </c>
      <c r="AX17" s="9">
        <v>1</v>
      </c>
      <c r="AY17" s="9">
        <v>1</v>
      </c>
      <c r="AZ17" s="7" t="s">
        <v>100</v>
      </c>
      <c r="BC17" s="7" t="s">
        <v>100</v>
      </c>
      <c r="BE17" s="10" t="str">
        <f>BF17/BG17</f>
        <v>0</v>
      </c>
      <c r="BF17" s="9">
        <v>0</v>
      </c>
      <c r="BG17" s="9">
        <v>1</v>
      </c>
      <c r="BH17" s="9">
        <v>1</v>
      </c>
      <c r="BI17" s="9">
        <v>1</v>
      </c>
      <c r="BJ17" s="10" t="str">
        <f>BK17/BL17</f>
        <v>0</v>
      </c>
      <c r="BK17" s="9">
        <v>0</v>
      </c>
      <c r="BL17" s="9">
        <v>1</v>
      </c>
      <c r="BM17" s="9">
        <v>1</v>
      </c>
      <c r="BN17" s="9">
        <v>1</v>
      </c>
      <c r="BO17" s="10" t="str">
        <f>BP17/BQ17</f>
        <v>0</v>
      </c>
      <c r="BP17" s="9">
        <v>0</v>
      </c>
      <c r="BQ17" s="9">
        <v>1</v>
      </c>
      <c r="BR17" s="9">
        <v>1</v>
      </c>
      <c r="BS17" s="9">
        <v>1</v>
      </c>
      <c r="BT17" s="10" t="str">
        <f>BU17/BV17</f>
        <v>0.2857142857142857</v>
      </c>
      <c r="BU17" s="9">
        <v>4</v>
      </c>
      <c r="BV17" s="9">
        <v>14</v>
      </c>
      <c r="BW17" s="9">
        <v>14</v>
      </c>
      <c r="BX17" s="9">
        <v>14</v>
      </c>
    </row>
    <row r="18">
      <c r="A18" s="6" t="s">
        <v>107</v>
      </c>
      <c r="B18" s="17" t="str">
        <f>C18/D18</f>
        <v>0.3404255319148936</v>
      </c>
      <c r="C18" s="16">
        <v>16</v>
      </c>
      <c r="D18" s="16">
        <v>47</v>
      </c>
      <c r="E18" s="16">
        <v>47</v>
      </c>
      <c r="F18" s="16">
        <v>47</v>
      </c>
      <c r="G18" s="17" t="str">
        <f>H18/I18</f>
        <v>0.47058823529411764</v>
      </c>
      <c r="H18" s="16">
        <v>16</v>
      </c>
      <c r="I18" s="16">
        <v>34</v>
      </c>
      <c r="J18" s="16">
        <v>34</v>
      </c>
      <c r="K18" s="16">
        <v>34</v>
      </c>
      <c r="L18" s="17" t="str">
        <f>M18/N18</f>
        <v>0.20833333333333334</v>
      </c>
      <c r="M18" s="16">
        <v>5</v>
      </c>
      <c r="N18" s="16">
        <v>24</v>
      </c>
      <c r="O18" s="16">
        <v>24</v>
      </c>
      <c r="P18" s="16">
        <v>24</v>
      </c>
      <c r="Q18" s="17" t="str">
        <f>R18/S18</f>
        <v>0.2727272727272727</v>
      </c>
      <c r="R18" s="16">
        <v>6</v>
      </c>
      <c r="S18" s="16">
        <v>22</v>
      </c>
      <c r="T18" s="16">
        <v>22</v>
      </c>
      <c r="U18" s="16">
        <v>22</v>
      </c>
      <c r="V18" s="17" t="str">
        <f>W18/X18</f>
        <v>0.3157894736842105</v>
      </c>
      <c r="W18" s="16">
        <v>6</v>
      </c>
      <c r="X18" s="16">
        <v>19</v>
      </c>
      <c r="Y18" s="16">
        <v>19</v>
      </c>
      <c r="Z18" s="16">
        <v>19</v>
      </c>
      <c r="AA18" s="17" t="str">
        <f>AB18/AC18</f>
        <v>0.2777777777777778</v>
      </c>
      <c r="AB18" s="16">
        <v>5</v>
      </c>
      <c r="AC18" s="16">
        <v>18</v>
      </c>
      <c r="AD18" s="16">
        <v>18</v>
      </c>
      <c r="AE18" s="16">
        <v>18</v>
      </c>
      <c r="AF18" s="17" t="str">
        <f>AG18/AH18</f>
        <v>0.2777777777777778</v>
      </c>
      <c r="AG18" s="16">
        <v>5</v>
      </c>
      <c r="AH18" s="16">
        <v>18</v>
      </c>
      <c r="AI18" s="16">
        <v>18</v>
      </c>
      <c r="AJ18" s="16">
        <v>18</v>
      </c>
      <c r="AK18" s="17" t="str">
        <f>AL18/AM18</f>
        <v>0.0625</v>
      </c>
      <c r="AL18" s="16">
        <v>1</v>
      </c>
      <c r="AM18" s="16">
        <v>16</v>
      </c>
      <c r="AN18" s="16">
        <v>16</v>
      </c>
      <c r="AO18" s="16">
        <v>16</v>
      </c>
      <c r="AP18" s="17" t="str">
        <f>AQ18/AR18</f>
        <v>0.2</v>
      </c>
      <c r="AQ18" s="16">
        <v>3</v>
      </c>
      <c r="AR18" s="16">
        <v>15</v>
      </c>
      <c r="AS18" s="16">
        <v>15</v>
      </c>
      <c r="AT18" s="16">
        <v>15</v>
      </c>
      <c r="AU18" s="17" t="str">
        <f>AV18/AW18</f>
        <v>0.26666666666666666</v>
      </c>
      <c r="AV18" s="16">
        <v>4</v>
      </c>
      <c r="AW18" s="16">
        <v>15</v>
      </c>
      <c r="AX18" s="16">
        <v>15</v>
      </c>
      <c r="AY18" s="16">
        <v>15</v>
      </c>
      <c r="AZ18" s="17" t="str">
        <f>BA18/BB18</f>
        <v>0.21428571428571427</v>
      </c>
      <c r="BA18" s="16">
        <v>3</v>
      </c>
      <c r="BB18" s="16">
        <v>14</v>
      </c>
      <c r="BC18" s="16">
        <v>14</v>
      </c>
      <c r="BD18" s="16">
        <v>14</v>
      </c>
      <c r="BE18" s="17" t="str">
        <f>BF18/BG18</f>
        <v>0.2727272727272727</v>
      </c>
      <c r="BF18" s="16">
        <v>3</v>
      </c>
      <c r="BG18" s="16">
        <v>11</v>
      </c>
      <c r="BH18" s="16">
        <v>11</v>
      </c>
      <c r="BI18" s="16">
        <v>11</v>
      </c>
      <c r="BJ18" s="17" t="str">
        <f>BK18/BL18</f>
        <v>0.4</v>
      </c>
      <c r="BK18" s="16">
        <v>4</v>
      </c>
      <c r="BL18" s="16">
        <v>10</v>
      </c>
      <c r="BM18" s="16">
        <v>10</v>
      </c>
      <c r="BN18" s="16">
        <v>10</v>
      </c>
      <c r="BO18" s="17" t="str">
        <f>BP18/BQ18</f>
        <v>0.20930232558139536</v>
      </c>
      <c r="BP18" s="16">
        <v>9</v>
      </c>
      <c r="BQ18" s="16">
        <v>43</v>
      </c>
      <c r="BR18" s="16">
        <v>43</v>
      </c>
      <c r="BS18" s="16">
        <v>43</v>
      </c>
      <c r="BT18" s="17" t="str">
        <f>BU18/BV18</f>
        <v>0.28104575163398693</v>
      </c>
      <c r="BU18" s="16">
        <v>86</v>
      </c>
      <c r="BV18" s="16">
        <v>306</v>
      </c>
      <c r="BW18" s="16">
        <v>306</v>
      </c>
      <c r="BX18" s="16">
        <v>306</v>
      </c>
    </row>
    <row r="20">
      <c r="A20" s="3" t="s">
        <v>108</v>
      </c>
    </row>
    <row r="21">
      <c r="A21" s="3" t="s">
        <v>109</v>
      </c>
    </row>
  </sheetData>
</worksheet>
</file>

<file path=xl/worksheets/sheet2.xml><?xml version="1.0" encoding="utf-8"?>
<worksheet xmlns="http://schemas.openxmlformats.org/spreadsheetml/2006/main">
  <dimension ref="A1"/>
  <sheetViews>
    <sheetView workbookViewId="0"/>
  </sheetViews>
  <cols>
    <col customWidth="true" max="1" min="1" width="24"/>
    <col customWidth="true" max="15" min="2" width="14"/>
  </cols>
  <sheetData>
    <row r="1">
      <c r="A1" s="1" t="s">
        <v>112</v>
      </c>
    </row>
    <row r="3">
      <c r="A3" s="8" t="s">
        <v>113</v>
      </c>
    </row>
    <row r="4">
      <c r="A4" s="3" t="s">
        <v>114</v>
      </c>
    </row>
    <row r="5">
      <c r="A5" s="4" t="s">
        <v>3</v>
      </c>
      <c r="B5" s="4" t="s">
        <v>4</v>
      </c>
      <c r="C5" s="4" t="s">
        <v>12</v>
      </c>
      <c r="D5" s="4" t="s">
        <v>18</v>
      </c>
      <c r="E5" s="4" t="s">
        <v>24</v>
      </c>
      <c r="F5" s="4" t="s">
        <v>30</v>
      </c>
      <c r="G5" s="4" t="s">
        <v>36</v>
      </c>
      <c r="H5" s="4" t="s">
        <v>42</v>
      </c>
      <c r="I5" s="4" t="s">
        <v>48</v>
      </c>
      <c r="J5" s="4" t="s">
        <v>54</v>
      </c>
      <c r="K5" s="4" t="s">
        <v>60</v>
      </c>
      <c r="L5" s="4" t="s">
        <v>66</v>
      </c>
      <c r="M5" s="4" t="s">
        <v>72</v>
      </c>
      <c r="N5" s="4" t="s">
        <v>78</v>
      </c>
      <c r="O5" s="4" t="s">
        <v>84</v>
      </c>
    </row>
    <row r="6">
      <c r="A6" s="5" t="s">
        <v>96</v>
      </c>
      <c r="B6" s="10" t="str">
        <f>'통계표'!$B$8</f>
        <v>0.125</v>
      </c>
      <c r="C6" s="10" t="str">
        <f>'통계표'!$G$8</f>
        <v>0.5833333333333334</v>
      </c>
      <c r="D6" s="10" t="str">
        <f>'통계표'!$L$8</f>
        <v>0.2857142857142857</v>
      </c>
      <c r="E6" s="10" t="str">
        <f>'통계표'!$Q$8</f>
        <v>0.2</v>
      </c>
      <c r="F6" s="10" t="str">
        <f>'통계표'!$V$8</f>
        <v>0.4</v>
      </c>
      <c r="G6" s="10" t="str">
        <f>'통계표'!$AA$8</f>
        <v>0</v>
      </c>
      <c r="H6" s="10" t="str">
        <f>'통계표'!$AF$8</f>
        <v>0.3333333333333333</v>
      </c>
      <c r="I6" s="10" t="str">
        <f>'통계표'!$AK$8</f>
        <v>0</v>
      </c>
      <c r="J6" s="10" t="str">
        <f>'통계표'!$AP$8</f>
        <v>0</v>
      </c>
      <c r="K6" s="10" t="str">
        <f>'통계표'!$AU$8</f>
        <v>0</v>
      </c>
      <c r="L6" s="10" t="str">
        <f>'통계표'!$AZ$8</f>
        <v>0.3333333333333333</v>
      </c>
      <c r="M6" s="10" t="str">
        <f>'통계표'!$BE$8</f>
        <v>0.3333333333333333</v>
      </c>
      <c r="N6" s="10" t="str">
        <f>'통계표'!$BJ$8</f>
        <v>0</v>
      </c>
      <c r="O6" s="10" t="str">
        <f>'통계표'!$BO$8</f>
        <v>0.25</v>
      </c>
    </row>
    <row r="7">
      <c r="A7" s="5" t="s">
        <v>97</v>
      </c>
      <c r="B7" s="10" t="str">
        <f>'통계표'!$B$9</f>
        <v>0.1111111111111111</v>
      </c>
      <c r="C7" s="10" t="str">
        <f>'통계표'!$G$9</f>
        <v>0.6</v>
      </c>
      <c r="D7" s="10" t="str">
        <f>'통계표'!$L$9</f>
        <v>0.3333333333333333</v>
      </c>
      <c r="E7" s="10" t="str">
        <f>'통계표'!$Q$9</f>
        <v>0.3333333333333333</v>
      </c>
      <c r="F7" s="10" t="str">
        <f>'통계표'!$V$9</f>
        <v>0.3333333333333333</v>
      </c>
      <c r="G7" s="10" t="str">
        <f>'통계표'!$AA$9</f>
        <v>0.25</v>
      </c>
      <c r="H7" s="10" t="str">
        <f>'통계표'!$AF$9</f>
        <v>0</v>
      </c>
      <c r="I7" s="10" t="str">
        <f>'통계표'!$AK$9</f>
        <v>0</v>
      </c>
      <c r="J7" s="10" t="str">
        <f>'통계표'!$AP$9</f>
        <v>0</v>
      </c>
      <c r="K7" s="10" t="str">
        <f>'통계표'!$AU$9</f>
        <v>0</v>
      </c>
      <c r="L7" s="10" t="str">
        <f>'통계표'!$AZ$9</f>
        <v>0</v>
      </c>
      <c r="M7" s="10" t="str">
        <f>'통계표'!$BE$9</f>
        <v>0.6666666666666666</v>
      </c>
      <c r="N7" s="10" t="str">
        <f>'통계표'!$BJ$9</f>
        <v>0.3333333333333333</v>
      </c>
      <c r="O7" s="10" t="str">
        <f>'통계표'!$BO$9</f>
        <v>0.25</v>
      </c>
    </row>
    <row r="8">
      <c r="A8" s="5" t="s">
        <v>98</v>
      </c>
      <c r="B8" s="10" t="str">
        <f>'통계표'!$B$10</f>
        <v>0.4444444444444444</v>
      </c>
      <c r="C8" s="10" t="str">
        <f>'통계표'!$G$10</f>
        <v>0.2</v>
      </c>
      <c r="D8" s="10" t="str">
        <f>'통계표'!$L$10</f>
        <v>0</v>
      </c>
      <c r="E8" s="10" t="str">
        <f>'통계표'!$Q$10</f>
        <v>0.5</v>
      </c>
      <c r="F8" s="10" t="str">
        <f>'통계표'!$V$10</f>
        <v>0.4</v>
      </c>
      <c r="G8" s="10" t="str">
        <f>'통계표'!$AA$10</f>
        <v>0.25</v>
      </c>
      <c r="H8" s="10" t="str">
        <f>'통계표'!$AF$10</f>
        <v>0</v>
      </c>
      <c r="I8" s="10" t="str">
        <f>'통계표'!$AK$10</f>
        <v>0</v>
      </c>
      <c r="J8" s="10" t="str">
        <f>'통계표'!$AP$10</f>
        <v>0.2</v>
      </c>
      <c r="K8" s="10" t="str">
        <f>'통계표'!$AU$10</f>
        <v>0</v>
      </c>
      <c r="L8" s="10" t="str">
        <f>'통계표'!$AZ$10</f>
        <v>0</v>
      </c>
      <c r="M8" s="10" t="str">
        <f>'통계표'!$BE$10</f>
        <v>0</v>
      </c>
      <c r="N8" s="10" t="str">
        <f>'통계표'!$BJ$10</f>
        <v>0.6666666666666666</v>
      </c>
      <c r="O8" s="10" t="str">
        <f>'통계표'!$BO$10</f>
        <v>0.2857142857142857</v>
      </c>
    </row>
    <row r="9">
      <c r="A9" s="5" t="s">
        <v>99</v>
      </c>
      <c r="B9" s="10" t="str">
        <f>'통계표'!$B$11</f>
        <v>0.2857142857142857</v>
      </c>
      <c r="C9" s="10" t="str">
        <f>'통계표'!$G$11</f>
        <v>0</v>
      </c>
      <c r="D9" s="10" t="str">
        <f>'통계표'!$L$11</f>
        <v>0</v>
      </c>
      <c r="E9" s="10" t="str">
        <f>'통계표'!$Q$11</f>
        <v>0</v>
      </c>
      <c r="F9" s="10" t="str">
        <f>'통계표'!$V$11</f>
        <v>0</v>
      </c>
      <c r="H9" s="10" t="str">
        <f>'통계표'!$AF$11</f>
        <v>1</v>
      </c>
      <c r="I9" s="10" t="str">
        <f>'통계표'!$AK$11</f>
        <v>0.3333333333333333</v>
      </c>
      <c r="J9" s="10" t="str">
        <f>'통계표'!$AP$11</f>
        <v>0.5</v>
      </c>
      <c r="K9" s="10" t="str">
        <f>'통계표'!$AU$11</f>
        <v>0.5</v>
      </c>
      <c r="L9" s="10" t="str">
        <f>'통계표'!$AZ$11</f>
        <v>0.5</v>
      </c>
      <c r="O9" s="10" t="str">
        <f>'통계표'!$BO$11</f>
        <v>0</v>
      </c>
    </row>
    <row r="10">
      <c r="A10" s="5" t="s">
        <v>101</v>
      </c>
      <c r="B10" s="10" t="str">
        <f>'통계표'!$B$12</f>
        <v>0.8</v>
      </c>
      <c r="C10" s="10" t="str">
        <f>'통계표'!$G$12</f>
        <v>0.5</v>
      </c>
      <c r="E10" s="10" t="str">
        <f>'통계표'!$Q$12</f>
        <v>0</v>
      </c>
      <c r="F10" s="10" t="str">
        <f>'통계표'!$V$12</f>
        <v>0.3333333333333333</v>
      </c>
      <c r="G10" s="10" t="str">
        <f>'통계표'!$AA$12</f>
        <v>1</v>
      </c>
      <c r="H10" s="10" t="str">
        <f>'통계표'!$AF$12</f>
        <v>0</v>
      </c>
      <c r="K10" s="10" t="str">
        <f>'통계표'!$AU$12</f>
        <v>0.5</v>
      </c>
      <c r="L10" s="10" t="str">
        <f>'통계표'!$AZ$12</f>
        <v>1</v>
      </c>
      <c r="O10" s="10" t="str">
        <f>'통계표'!$BO$12</f>
        <v>0</v>
      </c>
    </row>
    <row r="11">
      <c r="A11" s="5" t="s">
        <v>102</v>
      </c>
      <c r="B11" s="10" t="str">
        <f>'통계표'!$B$13</f>
        <v>0.3333333333333333</v>
      </c>
      <c r="C11" s="10" t="str">
        <f>'통계표'!$G$13</f>
        <v>1</v>
      </c>
      <c r="D11" s="10" t="str">
        <f>'통계표'!$L$13</f>
        <v>0.5</v>
      </c>
      <c r="E11" s="10" t="str">
        <f>'통계표'!$Q$13</f>
        <v>1</v>
      </c>
      <c r="G11" s="10" t="str">
        <f>'통계표'!$AA$13</f>
        <v>0</v>
      </c>
      <c r="H11" s="10" t="str">
        <f>'통계표'!$AF$13</f>
        <v>0.3333333333333333</v>
      </c>
      <c r="L11" s="10" t="str">
        <f>'통계표'!$AZ$13</f>
        <v>0</v>
      </c>
      <c r="O11" s="10" t="str">
        <f>'통계표'!$BO$13</f>
        <v>0.16666666666666666</v>
      </c>
    </row>
    <row r="12">
      <c r="A12" s="5" t="s">
        <v>103</v>
      </c>
      <c r="B12" s="10" t="str">
        <f>'통계표'!$B$14</f>
        <v>0</v>
      </c>
      <c r="C12" s="10" t="str">
        <f>'통계표'!$G$14</f>
        <v>0.3333333333333333</v>
      </c>
      <c r="D12" s="10" t="str">
        <f>'통계표'!$L$14</f>
        <v>0</v>
      </c>
      <c r="E12" s="10" t="str">
        <f>'통계표'!$Q$14</f>
        <v>0</v>
      </c>
      <c r="G12" s="10" t="str">
        <f>'통계표'!$AA$14</f>
        <v>1</v>
      </c>
      <c r="H12" s="10" t="str">
        <f>'통계표'!$AF$14</f>
        <v>0</v>
      </c>
      <c r="I12" s="10" t="str">
        <f>'통계표'!$AK$14</f>
        <v>0</v>
      </c>
      <c r="K12" s="10" t="str">
        <f>'통계표'!$AU$14</f>
        <v>0</v>
      </c>
      <c r="L12" s="10" t="str">
        <f>'통계표'!$AZ$14</f>
        <v>0</v>
      </c>
      <c r="M12" s="10" t="str">
        <f>'통계표'!$BE$14</f>
        <v>0</v>
      </c>
      <c r="O12" s="10" t="str">
        <f>'통계표'!$BO$14</f>
        <v>0.3333333333333333</v>
      </c>
    </row>
    <row r="13">
      <c r="A13" s="5" t="s">
        <v>104</v>
      </c>
      <c r="B13" s="10" t="str">
        <f>'통계표'!$B$15</f>
        <v>0.5</v>
      </c>
      <c r="D13" s="10" t="str">
        <f>'통계표'!$L$15</f>
        <v>0</v>
      </c>
      <c r="E13" s="10" t="str">
        <f>'통계표'!$Q$15</f>
        <v>0.6666666666666666</v>
      </c>
      <c r="I13" s="10" t="str">
        <f>'통계표'!$AK$15</f>
        <v>0</v>
      </c>
      <c r="J13" s="10" t="str">
        <f>'통계표'!$AP$15</f>
        <v>0</v>
      </c>
      <c r="K13" s="10" t="str">
        <f>'통계표'!$AU$15</f>
        <v>1</v>
      </c>
      <c r="L13" s="10" t="str">
        <f>'통계표'!$AZ$15</f>
        <v>0</v>
      </c>
      <c r="M13" s="10" t="str">
        <f>'통계표'!$BE$15</f>
        <v>0</v>
      </c>
      <c r="N13" s="10" t="str">
        <f>'통계표'!$BJ$15</f>
        <v>0.5</v>
      </c>
      <c r="O13" s="10" t="str">
        <f>'통계표'!$BO$15</f>
        <v>0</v>
      </c>
    </row>
    <row r="14">
      <c r="A14" s="5" t="s">
        <v>105</v>
      </c>
      <c r="B14" s="10" t="str">
        <f>'통계표'!$B$16</f>
        <v>1</v>
      </c>
      <c r="C14" s="10" t="str">
        <f>'통계표'!$G$16</f>
        <v>0.5</v>
      </c>
      <c r="D14" s="10" t="str">
        <f>'통계표'!$L$16</f>
        <v>0</v>
      </c>
      <c r="E14" s="10" t="str">
        <f>'통계표'!$Q$16</f>
        <v>0</v>
      </c>
      <c r="F14" s="10" t="str">
        <f>'통계표'!$V$16</f>
        <v>0</v>
      </c>
      <c r="I14" s="10" t="str">
        <f>'통계표'!$AK$16</f>
        <v>0</v>
      </c>
      <c r="J14" s="10" t="str">
        <f>'통계표'!$AP$16</f>
        <v>0.5</v>
      </c>
      <c r="L14" s="10" t="str">
        <f>'통계표'!$AZ$16</f>
        <v>0</v>
      </c>
      <c r="O14" s="10" t="str">
        <f>'통계표'!$BO$16</f>
        <v>0.5</v>
      </c>
    </row>
    <row r="15">
      <c r="A15" s="5" t="s">
        <v>106</v>
      </c>
      <c r="B15" s="10" t="str">
        <f>'통계표'!$B$17</f>
        <v>1</v>
      </c>
      <c r="C15" s="10" t="str">
        <f>'통계표'!$G$17</f>
        <v>0</v>
      </c>
      <c r="D15" s="10" t="str">
        <f>'통계표'!$L$17</f>
        <v>0</v>
      </c>
      <c r="G15" s="10" t="str">
        <f>'통계표'!$AA$17</f>
        <v>1</v>
      </c>
      <c r="H15" s="10" t="str">
        <f>'통계표'!$AF$17</f>
        <v>0.6666666666666666</v>
      </c>
      <c r="I15" s="10" t="str">
        <f>'통계표'!$AK$17</f>
        <v>0</v>
      </c>
      <c r="J15" s="10" t="str">
        <f>'통계표'!$AP$17</f>
        <v>0</v>
      </c>
      <c r="K15" s="10" t="str">
        <f>'통계표'!$AU$17</f>
        <v>0</v>
      </c>
      <c r="M15" s="10" t="str">
        <f>'통계표'!$BE$17</f>
        <v>0</v>
      </c>
      <c r="N15" s="10" t="str">
        <f>'통계표'!$BJ$17</f>
        <v>0</v>
      </c>
      <c r="O15" s="10" t="str">
        <f>'통계표'!$BO$17</f>
        <v>0</v>
      </c>
    </row>
  </sheetData>
  <conditionalFormatting sqref="B6:O15">
    <cfRule type="colorScale" priority="1">
      <colorScale>
        <cfvo type="num" val="0"/>
        <cfvo type="num" val="1"/>
        <color rgb="FFDBEAFE"/>
        <color rgb="FF1D4ED8"/>
      </colorScale>
    </cfRule>
  </conditionalFormatting>
</worksheet>
</file>

<file path=xl/worksheets/sheet3.xml><?xml version="1.0" encoding="utf-8"?>
<worksheet xmlns="http://schemas.openxmlformats.org/spreadsheetml/2006/main">
  <dimension ref="A1"/>
  <sheetViews>
    <sheetView workbookViewId="0"/>
  </sheetViews>
  <cols>
    <col customWidth="true" max="1" min="1" width="26"/>
    <col customWidth="true" max="26" min="2" width="16"/>
  </cols>
  <sheetData>
    <row r="1">
      <c r="A1" s="1" t="s">
        <v>110</v>
      </c>
    </row>
    <row r="2">
      <c r="A2" s="3" t="s">
        <v>111</v>
      </c>
    </row>
  </sheetData>
</worksheet>
</file>

<file path=xl/worksheets/sheet4.xml><?xml version="1.0" encoding="utf-8"?>
<worksheet xmlns="http://schemas.openxmlformats.org/spreadsheetml/2006/main">
  <dimension ref="A1"/>
  <sheetViews>
    <sheetView workbookViewId="0"/>
  </sheetViews>
  <cols>
    <col customWidth="true" max="1" min="1" width="22"/>
    <col customWidth="true" max="2" min="2" width="96"/>
  </cols>
  <sheetData>
    <row r="1">
      <c r="A1" s="1" t="s">
        <v>115</v>
      </c>
    </row>
    <row r="3">
      <c r="A3" s="8" t="s">
        <v>116</v>
      </c>
      <c r="B3" s="2" t="s">
        <v>117</v>
      </c>
    </row>
    <row r="4">
      <c r="A4" s="8" t="s">
        <v>118</v>
      </c>
      <c r="B4" s="2" t="s">
        <v>119</v>
      </c>
    </row>
    <row r="5">
      <c r="A5" s="8" t="s">
        <v>120</v>
      </c>
      <c r="B5" s="2" t="s">
        <v>121</v>
      </c>
    </row>
    <row r="6">
      <c r="A6" s="8" t="s">
        <v>122</v>
      </c>
      <c r="B6" s="2" t="s">
        <v>123</v>
      </c>
    </row>
    <row r="7">
      <c r="A7" s="8" t="s">
        <v>124</v>
      </c>
      <c r="B7" s="2" t="s">
        <v>125</v>
      </c>
    </row>
    <row r="8">
      <c r="A8" s="8" t="s">
        <v>126</v>
      </c>
      <c r="B8" s="2" t="s">
        <v>127</v>
      </c>
    </row>
    <row r="9">
      <c r="A9" s="8" t="s">
        <v>128</v>
      </c>
      <c r="B9" s="2" t="s">
        <v>3</v>
      </c>
    </row>
    <row r="10">
      <c r="A10" s="8" t="s">
        <v>129</v>
      </c>
      <c r="B10" s="2" t="s">
        <v>130</v>
      </c>
    </row>
    <row r="11">
      <c r="A11" s="8" t="s">
        <v>131</v>
      </c>
      <c r="B11" s="2" t="s">
        <v>132</v>
      </c>
    </row>
    <row r="12">
      <c r="A12" s="8" t="s">
        <v>133</v>
      </c>
      <c r="B12" s="2" t="s">
        <v>134</v>
      </c>
    </row>
    <row r="13">
      <c r="A13" s="8" t="s">
        <v>135</v>
      </c>
      <c r="B13" s="2" t="s">
        <v>136</v>
      </c>
    </row>
    <row r="14">
      <c r="A14" s="8" t="s">
        <v>137</v>
      </c>
      <c r="B14" s="2" t="s">
        <v>138</v>
      </c>
    </row>
    <row r="15">
      <c r="A15" s="8" t="s">
        <v>139</v>
      </c>
      <c r="B15" s="2" t="s">
        <v>140</v>
      </c>
    </row>
    <row r="16">
      <c r="A16" s="8" t="s">
        <v>141</v>
      </c>
      <c r="B16" s="2" t="s">
        <v>142</v>
      </c>
    </row>
    <row r="17">
      <c r="A17" s="8" t="s">
        <v>143</v>
      </c>
      <c r="B17" s="2" t="s">
        <v>144</v>
      </c>
    </row>
    <row r="18">
      <c r="A18" s="8" t="s">
        <v>145</v>
      </c>
      <c r="B18" s="2" t="s">
        <v>146</v>
      </c>
    </row>
    <row r="19">
      <c r="A19" s="8" t="s">
        <v>147</v>
      </c>
      <c r="B19" s="2" t="s">
        <v>148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title>맞춤 통계 · 기관 × 위반법규 · 과태료 부과율, 답변 건수</dc:title>
  <dc:creator>커뮤니티 신고 지도</dc:creator>
  <lastModifiedBy/>
  <dcterms:created xsi:type="dcterms:W3CDTF">2026-10-03T16:34:12.497Z</dcterms:created>
  <dcterms:modified xsi:type="dcterms:W3CDTF">2026-10-03T16:34:12.497Z</dcterms:modified>
</coreProperties>
</file>
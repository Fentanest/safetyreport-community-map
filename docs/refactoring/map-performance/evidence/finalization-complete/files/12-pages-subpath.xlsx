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<sst xmlns="http://schemas.openxmlformats.org/spreadsheetml/2006/main" count="149" uniqueCount="149">
  <si>
    <t>맞춤 통계 · 기관 × 위반법규 · 과태료 부과율, 답변 건수</t>
  </si>
  <si>
    <t>2026-10-04 01:34:08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</si>
  <si>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</si>
  <si>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</si>
  <si>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</si>
  <si>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</si>
  <si>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</si>
  <si>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</si>
  <si>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</si>
  <si>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</si>
  <si>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</si>
  <si>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</si>
  <si>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</si>
  <si>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</si>
  <si>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</si>
  <si>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</si>
  <si>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</si>
  <si>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</si>
  <si>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</si>
  <si>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</si>
  <si>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</si>
  <si>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</si>
  <si>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</si>
  <si>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</si>
  <si>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</si>
  <si>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</si>
  <si>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</si>
  <si>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</si>
  <si>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</si>
  <si>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</si>
  <si>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</si>
  <si>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</si>
  <si>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</si>
  <si>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</si>
  <si>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</si>
  <si>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</si>
  <si>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</si>
  <si>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</si>
  <si>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</si>
  <si>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</si>
  <si>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</si>
  <si>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</si>
  <si>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</si>
  <si>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</si>
  <si>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</si>
  <si>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</si>
  <si>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</si>
  <si>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</si>
  <si>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</si>
  <si>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</si>
  <si>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</si>
  <si>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</si>
  <si>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</si>
  <si>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</si>
  <si>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</si>
  <si>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</si>
  <si>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</si>
  <si>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</si>
  <si>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</si>
  <si>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</si>
  <si>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</si>
  <si>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</si>
  <si>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</si>
  <si>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</si>
  <si>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</si>
  <si>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</si>
  <si>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</si>
  <si>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</si>
  <si>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</si>
  <si>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</si>
  <si>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</si>
  <si>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</si>
  <si>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</si>
  <si>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</si>
  <si>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</si>
  <si>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</si>
  <si>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</si>
  <si>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</si>
  <si>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</si>
  <si>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</si>
  <si>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</si>
  <si>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</si>
  <si>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</si>
  <si>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</si>
  <si>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</si>
  <si>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</si>
  <si>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</si>
  <si>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</si>
  <si>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</si>
  <si>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</si>
  <si>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</si>
  <si>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</si>
  <si>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</si>
  <si>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</si>
  <si>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</si>
  <si>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</si>
  <si>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서울중부경찰서</t>
  </si>
  <si>
    <t>예시 강남구청</t>
  </si>
  <si>
    <t>예시 수원시청</t>
  </si>
  <si>
    <t>예시 인천남동경찰서</t>
  </si>
  <si>
    <t>—</t>
  </si>
  <si>
    <t>예시 대구수성경찰서</t>
  </si>
  <si>
    <t>예시 해운대구청</t>
  </si>
  <si>
    <t>예시 부산연제경찰서</t>
  </si>
  <si>
    <t>예시 대전서구청</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</si>
  <si>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</si>
  <si>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</si>
  <si>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</si>
  <si>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</si>
  <si>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</si>
  <si>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</si>
  <si>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</si>
  <si>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위반법규 · 과태료 부과율, 답변 건수 · 차트</t>
  </si>
  <si>
    <t>과태료 부과율 히트맵</t>
  </si>
  <si>
    <t>색 기준 0~100%.</t>
  </si>
  <si>
    <t>맞춤 통계 · 기관 × 위반법규 · 과태료 부과율, 답변 건수 · 조회 조건</t>
  </si>
  <si>
    <t>내려받은 시각</t>
  </si>
  <si>
    <t>2026-10-04 01:34:08 (한국 시간)</t>
  </si>
  <si>
    <t>자료 버전</t>
  </si>
  <si>
    <t>synthetic-2026-09-27</t>
  </si>
  <si>
    <t>기간</t>
  </si>
  <si>
    <t>2025-09-25 — 2026-09-24</t>
  </si>
  <si>
    <t>날짜 기준</t>
  </si>
  <si>
    <t>답변일</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</si>
  <si>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</si>
  <si>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</si>
  <si>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</si>
  <si>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</si>
  <si>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</si>
  <si>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</si>
  <si>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</si>
  <si>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</si>
  <si>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</si>
  <si>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</si>
  <si>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</si>
  <si>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</si>
  <si>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306건</t>
  </si>
  <si>
    <t>표 정렬</t>
  </si>
  <si>
    <t>기본 순서</t>
  </si>
  <si>
    <t>그래프</t>
  </si>
  <si>
    <t>히트맵 (자동 선택)</t>
  </si>
  <si>
    <t>지표 정의</t>
  </si>
  <si>
    <t>과태료 부과율: 전체 답변 중 과태료 처분의 비율 · 답변 건수: 답변 받은 신고 수</t>
  </si>
  <si>
    <t>빈 칸의 뜻</t>
  </si>
  <si>
    <t>— : 해당 신고 없음 · 계산 불가: 기준 신고 0건 · 자료 없음: 계산할 자료 없음</t>
  </si>
  <si>
    <t>화면에서 숨긴 항목</t>
  </si>
  <si>
    <t>없음</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</si>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</sst>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0.125</v>
      </c>
      <c r="C8" s="9">
        <v>1</v>
      </c>
      <c r="D8" s="9">
        <v>8</v>
      </c>
      <c r="E8" s="9">
        <v>8</v>
      </c>
      <c r="F8" s="9">
        <v>8</v>
      </c>
      <c r="G8" s="10" t="str">
        <f>H8/I8</f>
        <v>0.5833333333333334</v>
      </c>
      <c r="H8" s="9">
        <v>7</v>
      </c>
      <c r="I8" s="9">
        <v>12</v>
      </c>
      <c r="J8" s="9">
        <v>12</v>
      </c>
      <c r="K8" s="9">
        <v>12</v>
      </c>
      <c r="L8" s="10" t="str">
        <f>M8/N8</f>
        <v>0.2857142857142857</v>
      </c>
      <c r="M8" s="9">
        <v>2</v>
      </c>
      <c r="N8" s="9">
        <v>7</v>
      </c>
      <c r="O8" s="9">
        <v>7</v>
      </c>
      <c r="P8" s="9">
        <v>7</v>
      </c>
      <c r="Q8" s="10" t="str">
        <f>R8/S8</f>
        <v>0.2</v>
      </c>
      <c r="R8" s="9">
        <v>1</v>
      </c>
      <c r="S8" s="9">
        <v>5</v>
      </c>
      <c r="T8" s="9">
        <v>5</v>
      </c>
      <c r="U8" s="9">
        <v>5</v>
      </c>
      <c r="V8" s="10" t="str">
        <f>W8/X8</f>
        <v>0.4</v>
      </c>
      <c r="W8" s="9">
        <v>2</v>
      </c>
      <c r="X8" s="9">
        <v>5</v>
      </c>
      <c r="Y8" s="9">
        <v>5</v>
      </c>
      <c r="Z8" s="9">
        <v>5</v>
      </c>
      <c r="AA8" s="10" t="str">
        <f>AB8/AC8</f>
        <v>0</v>
      </c>
      <c r="AB8" s="9">
        <v>0</v>
      </c>
      <c r="AC8" s="9">
        <v>5</v>
      </c>
      <c r="AD8" s="9">
        <v>5</v>
      </c>
      <c r="AE8" s="9">
        <v>5</v>
      </c>
      <c r="AF8" s="10" t="str">
        <f>AG8/AH8</f>
        <v>0.3333333333333333</v>
      </c>
      <c r="AG8" s="9">
        <v>1</v>
      </c>
      <c r="AH8" s="9">
        <v>3</v>
      </c>
      <c r="AI8" s="9">
        <v>3</v>
      </c>
      <c r="AJ8" s="9">
        <v>3</v>
      </c>
      <c r="AK8" s="10" t="str">
        <f>AL8/AM8</f>
        <v>0</v>
      </c>
      <c r="AL8" s="9">
        <v>0</v>
      </c>
      <c r="AM8" s="9">
        <v>2</v>
      </c>
      <c r="AN8" s="9">
        <v>2</v>
      </c>
      <c r="AO8" s="9">
        <v>2</v>
      </c>
      <c r="AP8" s="10" t="str">
        <f>AQ8/AR8</f>
        <v>0</v>
      </c>
      <c r="AQ8" s="9">
        <v>0</v>
      </c>
      <c r="AR8" s="9">
        <v>2</v>
      </c>
      <c r="AS8" s="9">
        <v>2</v>
      </c>
      <c r="AT8" s="9">
        <v>2</v>
      </c>
      <c r="AU8" s="10" t="str">
        <f>AV8/AW8</f>
        <v>0</v>
      </c>
      <c r="AV8" s="9">
        <v>0</v>
      </c>
      <c r="AW8" s="9">
        <v>2</v>
      </c>
      <c r="AX8" s="9">
        <v>2</v>
      </c>
      <c r="AY8" s="9">
        <v>2</v>
      </c>
      <c r="AZ8" s="10" t="str">
        <f>BA8/BB8</f>
        <v>0.3333333333333333</v>
      </c>
      <c r="BA8" s="9">
        <v>1</v>
      </c>
      <c r="BB8" s="9">
        <v>3</v>
      </c>
      <c r="BC8" s="9">
        <v>3</v>
      </c>
      <c r="BD8" s="9">
        <v>3</v>
      </c>
      <c r="BE8" s="10" t="str">
        <f>BF8/BG8</f>
        <v>0.3333333333333333</v>
      </c>
      <c r="BF8" s="9">
        <v>1</v>
      </c>
      <c r="BG8" s="9">
        <v>3</v>
      </c>
      <c r="BH8" s="9">
        <v>3</v>
      </c>
      <c r="BI8" s="9">
        <v>3</v>
      </c>
      <c r="BJ8" s="10" t="str">
        <f>BK8/BL8</f>
        <v>0</v>
      </c>
      <c r="BK8" s="9">
        <v>0</v>
      </c>
      <c r="BL8" s="9">
        <v>1</v>
      </c>
      <c r="BM8" s="9">
        <v>1</v>
      </c>
      <c r="BN8" s="9">
        <v>1</v>
      </c>
      <c r="BO8" s="10" t="str">
        <f>BP8/BQ8</f>
        <v>0.25</v>
      </c>
      <c r="BP8" s="9">
        <v>2</v>
      </c>
      <c r="BQ8" s="9">
        <v>8</v>
      </c>
      <c r="BR8" s="9">
        <v>8</v>
      </c>
      <c r="BS8" s="9">
        <v>8</v>
      </c>
      <c r="BT8" s="10" t="str">
        <f>BU8/BV8</f>
        <v>0.2727272727272727</v>
      </c>
      <c r="BU8" s="9">
        <v>18</v>
      </c>
      <c r="BV8" s="9">
        <v>66</v>
      </c>
      <c r="BW8" s="9">
        <v>66</v>
      </c>
      <c r="BX8" s="9">
        <v>66</v>
      </c>
    </row>
    <row r="9">
      <c r="A9" s="5" t="s">
        <v>97</v>
      </c>
      <c r="B9" s="10" t="str">
        <f>C9/D9</f>
        <v>0.1111111111111111</v>
      </c>
      <c r="C9" s="9">
        <v>1</v>
      </c>
      <c r="D9" s="9">
        <v>9</v>
      </c>
      <c r="E9" s="9">
        <v>9</v>
      </c>
      <c r="F9" s="9">
        <v>9</v>
      </c>
      <c r="G9" s="10" t="str">
        <f>H9/I9</f>
        <v>0.6</v>
      </c>
      <c r="H9" s="9">
        <v>3</v>
      </c>
      <c r="I9" s="9">
        <v>5</v>
      </c>
      <c r="J9" s="9">
        <v>5</v>
      </c>
      <c r="K9" s="9">
        <v>5</v>
      </c>
      <c r="L9" s="10" t="str">
        <f>M9/N9</f>
        <v>0.3333333333333333</v>
      </c>
      <c r="M9" s="9">
        <v>2</v>
      </c>
      <c r="N9" s="9">
        <v>6</v>
      </c>
      <c r="O9" s="9">
        <v>6</v>
      </c>
      <c r="P9" s="9">
        <v>6</v>
      </c>
      <c r="Q9" s="10" t="str">
        <f>R9/S9</f>
        <v>0.3333333333333333</v>
      </c>
      <c r="R9" s="9">
        <v>1</v>
      </c>
      <c r="S9" s="9">
        <v>3</v>
      </c>
      <c r="T9" s="9">
        <v>3</v>
      </c>
      <c r="U9" s="9">
        <v>3</v>
      </c>
      <c r="V9" s="10" t="str">
        <f>W9/X9</f>
        <v>0.3333333333333333</v>
      </c>
      <c r="W9" s="9">
        <v>1</v>
      </c>
      <c r="X9" s="9">
        <v>3</v>
      </c>
      <c r="Y9" s="9">
        <v>3</v>
      </c>
      <c r="Z9" s="9">
        <v>3</v>
      </c>
      <c r="AA9" s="10" t="str">
        <f>AB9/AC9</f>
        <v>0.25</v>
      </c>
      <c r="AB9" s="9">
        <v>1</v>
      </c>
      <c r="AC9" s="9">
        <v>4</v>
      </c>
      <c r="AD9" s="9">
        <v>4</v>
      </c>
      <c r="AE9" s="9">
        <v>4</v>
      </c>
      <c r="AF9" s="10" t="str">
        <f>AG9/AH9</f>
        <v>0</v>
      </c>
      <c r="AG9" s="9">
        <v>0</v>
      </c>
      <c r="AH9" s="9">
        <v>2</v>
      </c>
      <c r="AI9" s="9">
        <v>2</v>
      </c>
      <c r="AJ9" s="9">
        <v>2</v>
      </c>
      <c r="AK9" s="10" t="str">
        <f>AL9/AM9</f>
        <v>0</v>
      </c>
      <c r="AL9" s="9">
        <v>0</v>
      </c>
      <c r="AM9" s="9">
        <v>4</v>
      </c>
      <c r="AN9" s="9">
        <v>4</v>
      </c>
      <c r="AO9" s="9">
        <v>4</v>
      </c>
      <c r="AP9" s="10" t="str">
        <f>AQ9/AR9</f>
        <v>0</v>
      </c>
      <c r="AQ9" s="9">
        <v>0</v>
      </c>
      <c r="AR9" s="9">
        <v>1</v>
      </c>
      <c r="AS9" s="9">
        <v>1</v>
      </c>
      <c r="AT9" s="9">
        <v>1</v>
      </c>
      <c r="AU9" s="10" t="str">
        <f>AV9/AW9</f>
        <v>0</v>
      </c>
      <c r="AV9" s="9">
        <v>0</v>
      </c>
      <c r="AW9" s="9">
        <v>1</v>
      </c>
      <c r="AX9" s="9">
        <v>1</v>
      </c>
      <c r="AY9" s="9">
        <v>1</v>
      </c>
      <c r="AZ9" s="10" t="str">
        <f>BA9/BB9</f>
        <v>0</v>
      </c>
      <c r="BA9" s="9">
        <v>0</v>
      </c>
      <c r="BB9" s="9">
        <v>1</v>
      </c>
      <c r="BC9" s="9">
        <v>1</v>
      </c>
      <c r="BD9" s="9">
        <v>1</v>
      </c>
      <c r="BE9" s="10" t="str">
        <f>BF9/BG9</f>
        <v>0.6666666666666666</v>
      </c>
      <c r="BF9" s="9">
        <v>2</v>
      </c>
      <c r="BG9" s="9">
        <v>3</v>
      </c>
      <c r="BH9" s="9">
        <v>3</v>
      </c>
      <c r="BI9" s="9">
        <v>3</v>
      </c>
      <c r="BJ9" s="10" t="str">
        <f>BK9/BL9</f>
        <v>0.3333333333333333</v>
      </c>
      <c r="BK9" s="9">
        <v>1</v>
      </c>
      <c r="BL9" s="9">
        <v>3</v>
      </c>
      <c r="BM9" s="9">
        <v>3</v>
      </c>
      <c r="BN9" s="9">
        <v>3</v>
      </c>
      <c r="BO9" s="10" t="str">
        <f>BP9/BQ9</f>
        <v>0.25</v>
      </c>
      <c r="BP9" s="9">
        <v>2</v>
      </c>
      <c r="BQ9" s="9">
        <v>8</v>
      </c>
      <c r="BR9" s="9">
        <v>8</v>
      </c>
      <c r="BS9" s="9">
        <v>8</v>
      </c>
      <c r="BT9" s="10" t="str">
        <f>BU9/BV9</f>
        <v>0.2641509433962264</v>
      </c>
      <c r="BU9" s="9">
        <v>14</v>
      </c>
      <c r="BV9" s="9">
        <v>53</v>
      </c>
      <c r="BW9" s="9">
        <v>53</v>
      </c>
      <c r="BX9" s="9">
        <v>53</v>
      </c>
    </row>
    <row r="10">
      <c r="A10" s="5" t="s">
        <v>98</v>
      </c>
      <c r="B10" s="10" t="str">
        <f>C10/D10</f>
        <v>0.4444444444444444</v>
      </c>
      <c r="C10" s="9">
        <v>4</v>
      </c>
      <c r="D10" s="9">
        <v>9</v>
      </c>
      <c r="E10" s="9">
        <v>9</v>
      </c>
      <c r="F10" s="9">
        <v>9</v>
      </c>
      <c r="G10" s="10" t="str">
        <f>H10/I10</f>
        <v>0.2</v>
      </c>
      <c r="H10" s="9">
        <v>1</v>
      </c>
      <c r="I10" s="9">
        <v>5</v>
      </c>
      <c r="J10" s="9">
        <v>5</v>
      </c>
      <c r="K10" s="9">
        <v>5</v>
      </c>
      <c r="L10" s="10" t="str">
        <f>M10/N10</f>
        <v>0</v>
      </c>
      <c r="M10" s="9">
        <v>0</v>
      </c>
      <c r="N10" s="9">
        <v>2</v>
      </c>
      <c r="O10" s="9">
        <v>2</v>
      </c>
      <c r="P10" s="9">
        <v>2</v>
      </c>
      <c r="Q10" s="10" t="str">
        <f>R10/S10</f>
        <v>0.5</v>
      </c>
      <c r="R10" s="9">
        <v>1</v>
      </c>
      <c r="S10" s="9">
        <v>2</v>
      </c>
      <c r="T10" s="9">
        <v>2</v>
      </c>
      <c r="U10" s="9">
        <v>2</v>
      </c>
      <c r="V10" s="10" t="str">
        <f>W10/X10</f>
        <v>0.4</v>
      </c>
      <c r="W10" s="9">
        <v>2</v>
      </c>
      <c r="X10" s="9">
        <v>5</v>
      </c>
      <c r="Y10" s="9">
        <v>5</v>
      </c>
      <c r="Z10" s="9">
        <v>5</v>
      </c>
      <c r="AA10" s="10" t="str">
        <f>AB10/AC10</f>
        <v>0.25</v>
      </c>
      <c r="AB10" s="9">
        <v>1</v>
      </c>
      <c r="AC10" s="9">
        <v>4</v>
      </c>
      <c r="AD10" s="9">
        <v>4</v>
      </c>
      <c r="AE10" s="9">
        <v>4</v>
      </c>
      <c r="AF10" s="10" t="str">
        <f>AG10/AH10</f>
        <v>0</v>
      </c>
      <c r="AG10" s="9">
        <v>0</v>
      </c>
      <c r="AH10" s="9">
        <v>4</v>
      </c>
      <c r="AI10" s="9">
        <v>4</v>
      </c>
      <c r="AJ10" s="9">
        <v>4</v>
      </c>
      <c r="AK10" s="10" t="str">
        <f>AL10/AM10</f>
        <v>0</v>
      </c>
      <c r="AL10" s="9">
        <v>0</v>
      </c>
      <c r="AM10" s="9">
        <v>3</v>
      </c>
      <c r="AN10" s="9">
        <v>3</v>
      </c>
      <c r="AO10" s="9">
        <v>3</v>
      </c>
      <c r="AP10" s="10" t="str">
        <f>AQ10/AR10</f>
        <v>0.2</v>
      </c>
      <c r="AQ10" s="9">
        <v>1</v>
      </c>
      <c r="AR10" s="9">
        <v>5</v>
      </c>
      <c r="AS10" s="9">
        <v>5</v>
      </c>
      <c r="AT10" s="9">
        <v>5</v>
      </c>
      <c r="AU10" s="10" t="str">
        <f>AV10/AW10</f>
        <v>0</v>
      </c>
      <c r="AV10" s="9">
        <v>0</v>
      </c>
      <c r="AW10" s="9">
        <v>2</v>
      </c>
      <c r="AX10" s="9">
        <v>2</v>
      </c>
      <c r="AY10" s="9">
        <v>2</v>
      </c>
      <c r="AZ10" s="10" t="str">
        <f>BA10/BB10</f>
        <v>0</v>
      </c>
      <c r="BA10" s="9">
        <v>0</v>
      </c>
      <c r="BB10" s="9">
        <v>1</v>
      </c>
      <c r="BC10" s="9">
        <v>1</v>
      </c>
      <c r="BD10" s="9">
        <v>1</v>
      </c>
      <c r="BE10" s="10" t="str">
        <f>BF10/BG10</f>
        <v>0</v>
      </c>
      <c r="BF10" s="9">
        <v>0</v>
      </c>
      <c r="BG10" s="9">
        <v>1</v>
      </c>
      <c r="BH10" s="9">
        <v>1</v>
      </c>
      <c r="BI10" s="9">
        <v>1</v>
      </c>
      <c r="BJ10" s="10" t="str">
        <f>BK10/BL10</f>
        <v>0.6666666666666666</v>
      </c>
      <c r="BK10" s="9">
        <v>2</v>
      </c>
      <c r="BL10" s="9">
        <v>3</v>
      </c>
      <c r="BM10" s="9">
        <v>3</v>
      </c>
      <c r="BN10" s="9">
        <v>3</v>
      </c>
      <c r="BO10" s="10" t="str">
        <f>BP10/BQ10</f>
        <v>0.2857142857142857</v>
      </c>
      <c r="BP10" s="9">
        <v>2</v>
      </c>
      <c r="BQ10" s="9">
        <v>7</v>
      </c>
      <c r="BR10" s="9">
        <v>7</v>
      </c>
      <c r="BS10" s="9">
        <v>7</v>
      </c>
      <c r="BT10" s="10" t="str">
        <f>BU10/BV10</f>
        <v>0.2641509433962264</v>
      </c>
      <c r="BU10" s="9">
        <v>14</v>
      </c>
      <c r="BV10" s="9">
        <v>53</v>
      </c>
      <c r="BW10" s="9">
        <v>53</v>
      </c>
      <c r="BX10" s="9">
        <v>53</v>
      </c>
    </row>
    <row r="11">
      <c r="A11" s="5" t="s">
        <v>99</v>
      </c>
      <c r="B11" s="10" t="str">
        <f>C11/D11</f>
        <v>0.2857142857142857</v>
      </c>
      <c r="C11" s="9">
        <v>2</v>
      </c>
      <c r="D11" s="9">
        <v>7</v>
      </c>
      <c r="E11" s="9">
        <v>7</v>
      </c>
      <c r="F11" s="9">
        <v>7</v>
      </c>
      <c r="G11" s="10" t="str">
        <f>H11/I11</f>
        <v>0</v>
      </c>
      <c r="H11" s="9">
        <v>0</v>
      </c>
      <c r="I11" s="9">
        <v>1</v>
      </c>
      <c r="J11" s="9">
        <v>1</v>
      </c>
      <c r="K11" s="9">
        <v>1</v>
      </c>
      <c r="L11" s="10" t="str">
        <f>M11/N11</f>
        <v>0</v>
      </c>
      <c r="M11" s="9">
        <v>0</v>
      </c>
      <c r="N11" s="9">
        <v>1</v>
      </c>
      <c r="O11" s="9">
        <v>1</v>
      </c>
      <c r="P11" s="9">
        <v>1</v>
      </c>
      <c r="Q11" s="10" t="str">
        <f>R11/S11</f>
        <v>0</v>
      </c>
      <c r="R11" s="9">
        <v>0</v>
      </c>
      <c r="S11" s="9">
        <v>3</v>
      </c>
      <c r="T11" s="9">
        <v>3</v>
      </c>
      <c r="U11" s="9">
        <v>3</v>
      </c>
      <c r="V11" s="10" t="str">
        <f>W11/X11</f>
        <v>0</v>
      </c>
      <c r="W11" s="9">
        <v>0</v>
      </c>
      <c r="X11" s="9">
        <v>1</v>
      </c>
      <c r="Y11" s="9">
        <v>1</v>
      </c>
      <c r="Z11" s="9">
        <v>1</v>
      </c>
      <c r="AA11" s="7" t="s">
        <v>100</v>
      </c>
      <c r="AD11" s="7" t="s">
        <v>100</v>
      </c>
      <c r="AF11" s="10" t="str">
        <f>AG11/AH11</f>
        <v>1</v>
      </c>
      <c r="AG11" s="9">
        <v>1</v>
      </c>
      <c r="AH11" s="9">
        <v>1</v>
      </c>
      <c r="AI11" s="9">
        <v>1</v>
      </c>
      <c r="AJ11" s="9">
        <v>1</v>
      </c>
      <c r="AK11" s="10" t="str">
        <f>AL11/AM11</f>
        <v>0.3333333333333333</v>
      </c>
      <c r="AL11" s="9">
        <v>1</v>
      </c>
      <c r="AM11" s="9">
        <v>3</v>
      </c>
      <c r="AN11" s="9">
        <v>3</v>
      </c>
      <c r="AO11" s="9">
        <v>3</v>
      </c>
      <c r="AP11" s="10" t="str">
        <f>AQ11/AR11</f>
        <v>0.5</v>
      </c>
      <c r="AQ11" s="9">
        <v>1</v>
      </c>
      <c r="AR11" s="9">
        <v>2</v>
      </c>
      <c r="AS11" s="9">
        <v>2</v>
      </c>
      <c r="AT11" s="9">
        <v>2</v>
      </c>
      <c r="AU11" s="10" t="str">
        <f>AV11/AW11</f>
        <v>0.5</v>
      </c>
      <c r="AV11" s="9">
        <v>1</v>
      </c>
      <c r="AW11" s="9">
        <v>2</v>
      </c>
      <c r="AX11" s="9">
        <v>2</v>
      </c>
      <c r="AY11" s="9">
        <v>2</v>
      </c>
      <c r="AZ11" s="10" t="str">
        <f>BA11/BB11</f>
        <v>0.5</v>
      </c>
      <c r="BA11" s="9">
        <v>1</v>
      </c>
      <c r="BB11" s="9">
        <v>2</v>
      </c>
      <c r="BC11" s="9">
        <v>2</v>
      </c>
      <c r="BD11" s="9">
        <v>2</v>
      </c>
      <c r="BE11" s="7" t="s">
        <v>100</v>
      </c>
      <c r="BH11" s="7" t="s">
        <v>100</v>
      </c>
      <c r="BJ11" s="7" t="s">
        <v>100</v>
      </c>
      <c r="BM11" s="7" t="s">
        <v>100</v>
      </c>
      <c r="BO11" s="10" t="str">
        <f>BP11/BQ11</f>
        <v>0</v>
      </c>
      <c r="BP11" s="9">
        <v>0</v>
      </c>
      <c r="BQ11" s="9">
        <v>4</v>
      </c>
      <c r="BR11" s="9">
        <v>4</v>
      </c>
      <c r="BS11" s="9">
        <v>4</v>
      </c>
      <c r="BT11" s="10" t="str">
        <f>BU11/BV11</f>
        <v>0.25925925925925924</v>
      </c>
      <c r="BU11" s="9">
        <v>7</v>
      </c>
      <c r="BV11" s="9">
        <v>27</v>
      </c>
      <c r="BW11" s="9">
        <v>27</v>
      </c>
      <c r="BX11" s="9">
        <v>27</v>
      </c>
    </row>
    <row r="12">
      <c r="A12" s="5" t="s">
        <v>101</v>
      </c>
      <c r="B12" s="10" t="str">
        <f>C12/D12</f>
        <v>0.8</v>
      </c>
      <c r="C12" s="9">
        <v>4</v>
      </c>
      <c r="D12" s="9">
        <v>5</v>
      </c>
      <c r="E12" s="9">
        <v>5</v>
      </c>
      <c r="F12" s="9">
        <v>5</v>
      </c>
      <c r="G12" s="10" t="str">
        <f>H12/I12</f>
        <v>0.5</v>
      </c>
      <c r="H12" s="9">
        <v>1</v>
      </c>
      <c r="I12" s="9">
        <v>2</v>
      </c>
      <c r="J12" s="9">
        <v>2</v>
      </c>
      <c r="K12" s="9">
        <v>2</v>
      </c>
      <c r="L12" s="7" t="s">
        <v>100</v>
      </c>
      <c r="O12" s="7" t="s">
        <v>100</v>
      </c>
      <c r="Q12" s="10" t="str">
        <f>R12/S12</f>
        <v>0</v>
      </c>
      <c r="R12" s="9">
        <v>0</v>
      </c>
      <c r="S12" s="9">
        <v>2</v>
      </c>
      <c r="T12" s="9">
        <v>2</v>
      </c>
      <c r="U12" s="9">
        <v>2</v>
      </c>
      <c r="V12" s="10" t="str">
        <f>W12/X12</f>
        <v>0.3333333333333333</v>
      </c>
      <c r="W12" s="9">
        <v>1</v>
      </c>
      <c r="X12" s="9">
        <v>3</v>
      </c>
      <c r="Y12" s="9">
        <v>3</v>
      </c>
      <c r="Z12" s="9">
        <v>3</v>
      </c>
      <c r="AA12" s="10" t="str">
        <f>AB12/AC12</f>
        <v>1</v>
      </c>
      <c r="AB12" s="9">
        <v>1</v>
      </c>
      <c r="AC12" s="9">
        <v>1</v>
      </c>
      <c r="AD12" s="9">
        <v>1</v>
      </c>
      <c r="AE12" s="9">
        <v>1</v>
      </c>
      <c r="AF12" s="10" t="str">
        <f>AG12/AH12</f>
        <v>0</v>
      </c>
      <c r="AG12" s="9">
        <v>0</v>
      </c>
      <c r="AH12" s="9">
        <v>1</v>
      </c>
      <c r="AI12" s="9">
        <v>1</v>
      </c>
      <c r="AJ12" s="9">
        <v>1</v>
      </c>
      <c r="AK12" s="7" t="s">
        <v>100</v>
      </c>
      <c r="AN12" s="7" t="s">
        <v>100</v>
      </c>
      <c r="AP12" s="7" t="s">
        <v>100</v>
      </c>
      <c r="AS12" s="7" t="s">
        <v>100</v>
      </c>
      <c r="AU12" s="10" t="str">
        <f>AV12/AW12</f>
        <v>0.5</v>
      </c>
      <c r="AV12" s="9">
        <v>2</v>
      </c>
      <c r="AW12" s="9">
        <v>4</v>
      </c>
      <c r="AX12" s="9">
        <v>4</v>
      </c>
      <c r="AY12" s="9">
        <v>4</v>
      </c>
      <c r="AZ12" s="10" t="str">
        <f>BA12/BB12</f>
        <v>1</v>
      </c>
      <c r="BA12" s="9">
        <v>1</v>
      </c>
      <c r="BB12" s="9">
        <v>1</v>
      </c>
      <c r="BC12" s="9">
        <v>1</v>
      </c>
      <c r="BD12" s="9">
        <v>1</v>
      </c>
      <c r="BE12" s="7" t="s">
        <v>100</v>
      </c>
      <c r="BH12" s="7" t="s">
        <v>100</v>
      </c>
      <c r="BJ12" s="7" t="s">
        <v>100</v>
      </c>
      <c r="BM12" s="7" t="s">
        <v>100</v>
      </c>
      <c r="BO12" s="10" t="str">
        <f>BP12/BQ12</f>
        <v>0</v>
      </c>
      <c r="BP12" s="9">
        <v>0</v>
      </c>
      <c r="BQ12" s="9">
        <v>3</v>
      </c>
      <c r="BR12" s="9">
        <v>3</v>
      </c>
      <c r="BS12" s="9">
        <v>3</v>
      </c>
      <c r="BT12" s="10" t="str">
        <f>BU12/BV12</f>
        <v>0.45454545454545453</v>
      </c>
      <c r="BU12" s="9">
        <v>10</v>
      </c>
      <c r="BV12" s="9">
        <v>22</v>
      </c>
      <c r="BW12" s="9">
        <v>22</v>
      </c>
      <c r="BX12" s="9">
        <v>22</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100</v>
      </c>
      <c r="Y13" s="7" t="s">
        <v>100</v>
      </c>
      <c r="AA13" s="10" t="str">
        <f>AB13/AC13</f>
        <v>0</v>
      </c>
      <c r="AB13" s="9">
        <v>0</v>
      </c>
      <c r="AC13" s="9">
        <v>2</v>
      </c>
      <c r="AD13" s="9">
        <v>2</v>
      </c>
      <c r="AE13" s="9">
        <v>2</v>
      </c>
      <c r="AF13" s="10" t="str">
        <f>AG13/AH13</f>
        <v>0.3333333333333333</v>
      </c>
      <c r="AG13" s="9">
        <v>1</v>
      </c>
      <c r="AH13" s="9">
        <v>3</v>
      </c>
      <c r="AI13" s="9">
        <v>3</v>
      </c>
      <c r="AJ13" s="9">
        <v>3</v>
      </c>
      <c r="AK13" s="7" t="s">
        <v>100</v>
      </c>
      <c r="AN13" s="7" t="s">
        <v>100</v>
      </c>
      <c r="AP13" s="7" t="s">
        <v>100</v>
      </c>
      <c r="AS13" s="7" t="s">
        <v>100</v>
      </c>
      <c r="AU13" s="7" t="s">
        <v>100</v>
      </c>
      <c r="AX13" s="7" t="s">
        <v>100</v>
      </c>
      <c r="AZ13" s="10" t="str">
        <f>BA13/BB13</f>
        <v>0</v>
      </c>
      <c r="BA13" s="9">
        <v>0</v>
      </c>
      <c r="BB13" s="9">
        <v>1</v>
      </c>
      <c r="BC13" s="9">
        <v>1</v>
      </c>
      <c r="BD13" s="9">
        <v>1</v>
      </c>
      <c r="BE13" s="7" t="s">
        <v>100</v>
      </c>
      <c r="BH13" s="7" t="s">
        <v>100</v>
      </c>
      <c r="BJ13" s="7" t="s">
        <v>100</v>
      </c>
      <c r="BM13" s="7" t="s">
        <v>100</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100</v>
      </c>
      <c r="Y14" s="7" t="s">
        <v>100</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100</v>
      </c>
      <c r="AS14" s="7" t="s">
        <v>100</v>
      </c>
      <c r="AU14" s="10" t="str">
        <f>AV14/AW14</f>
        <v>0</v>
      </c>
      <c r="AV14" s="9">
        <v>0</v>
      </c>
      <c r="AW14" s="9">
        <v>2</v>
      </c>
      <c r="AX14" s="9">
        <v>2</v>
      </c>
      <c r="AY14" s="9">
        <v>2</v>
      </c>
      <c r="AZ14" s="10" t="str">
        <f>BA14/BB14</f>
        <v>0</v>
      </c>
      <c r="BA14" s="9">
        <v>0</v>
      </c>
      <c r="BB14" s="9">
        <v>1</v>
      </c>
      <c r="BC14" s="9">
        <v>1</v>
      </c>
      <c r="BD14" s="9">
        <v>1</v>
      </c>
      <c r="BE14" s="10" t="str">
        <f>BF14/BG14</f>
        <v>0</v>
      </c>
      <c r="BF14" s="9">
        <v>0</v>
      </c>
      <c r="BG14" s="9">
        <v>2</v>
      </c>
      <c r="BH14" s="9">
        <v>2</v>
      </c>
      <c r="BI14" s="9">
        <v>2</v>
      </c>
      <c r="BJ14" s="7" t="s">
        <v>100</v>
      </c>
      <c r="BM14" s="7" t="s">
        <v>100</v>
      </c>
      <c r="BO14" s="10" t="str">
        <f>BP14/BQ14</f>
        <v>0.3333333333333333</v>
      </c>
      <c r="BP14" s="9">
        <v>1</v>
      </c>
      <c r="BQ14" s="9">
        <v>3</v>
      </c>
      <c r="BR14" s="9">
        <v>3</v>
      </c>
      <c r="BS14" s="9">
        <v>3</v>
      </c>
      <c r="BT14" s="10" t="str">
        <f>BU14/BV14</f>
        <v>0.15789473684210525</v>
      </c>
      <c r="BU14" s="9">
        <v>3</v>
      </c>
      <c r="BV14" s="9">
        <v>19</v>
      </c>
      <c r="BW14" s="9">
        <v>19</v>
      </c>
      <c r="BX14" s="9">
        <v>19</v>
      </c>
    </row>
    <row r="15">
      <c r="A15" s="5" t="s">
        <v>104</v>
      </c>
      <c r="B15" s="10" t="str">
        <f>C15/D15</f>
        <v>0.5</v>
      </c>
      <c r="C15" s="9">
        <v>1</v>
      </c>
      <c r="D15" s="9">
        <v>2</v>
      </c>
      <c r="E15" s="9">
        <v>2</v>
      </c>
      <c r="F15" s="9">
        <v>2</v>
      </c>
      <c r="G15" s="7" t="s">
        <v>100</v>
      </c>
      <c r="J15" s="7" t="s">
        <v>100</v>
      </c>
      <c r="L15" s="10" t="str">
        <f>M15/N15</f>
        <v>0</v>
      </c>
      <c r="M15" s="9">
        <v>0</v>
      </c>
      <c r="N15" s="9">
        <v>2</v>
      </c>
      <c r="O15" s="9">
        <v>2</v>
      </c>
      <c r="P15" s="9">
        <v>2</v>
      </c>
      <c r="Q15" s="10" t="str">
        <f>R15/S15</f>
        <v>0.6666666666666666</v>
      </c>
      <c r="R15" s="9">
        <v>2</v>
      </c>
      <c r="S15" s="9">
        <v>3</v>
      </c>
      <c r="T15" s="9">
        <v>3</v>
      </c>
      <c r="U15" s="9">
        <v>3</v>
      </c>
      <c r="V15" s="7" t="s">
        <v>100</v>
      </c>
      <c r="Y15" s="7" t="s">
        <v>100</v>
      </c>
      <c r="AA15" s="7" t="s">
        <v>100</v>
      </c>
      <c r="AD15" s="7" t="s">
        <v>100</v>
      </c>
      <c r="AF15" s="7" t="s">
        <v>100</v>
      </c>
      <c r="AI15" s="7" t="s">
        <v>100</v>
      </c>
      <c r="AK15" s="10" t="str">
        <f>AL15/AM15</f>
        <v>0</v>
      </c>
      <c r="AL15" s="9">
        <v>0</v>
      </c>
      <c r="AM15" s="9">
        <v>1</v>
      </c>
      <c r="AN15" s="9">
        <v>1</v>
      </c>
      <c r="AO15" s="9">
        <v>1</v>
      </c>
      <c r="AP15" s="10" t="str">
        <f>AQ15/AR15</f>
        <v>0</v>
      </c>
      <c r="AQ15" s="9">
        <v>0</v>
      </c>
      <c r="AR15" s="9">
        <v>2</v>
      </c>
      <c r="AS15" s="9">
        <v>2</v>
      </c>
      <c r="AT15" s="9">
        <v>2</v>
      </c>
      <c r="AU15" s="10" t="str">
        <f>AV15/AW15</f>
        <v>1</v>
      </c>
      <c r="AV15" s="9">
        <v>1</v>
      </c>
      <c r="AW15" s="9">
        <v>1</v>
      </c>
      <c r="AX15" s="9">
        <v>1</v>
      </c>
      <c r="AY15" s="9">
        <v>1</v>
      </c>
      <c r="AZ15" s="10" t="str">
        <f>BA15/BB15</f>
        <v>0</v>
      </c>
      <c r="BA15" s="9">
        <v>0</v>
      </c>
      <c r="BB15" s="9">
        <v>2</v>
      </c>
      <c r="BC15" s="9">
        <v>2</v>
      </c>
      <c r="BD15" s="9">
        <v>2</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2</v>
      </c>
      <c r="Y16" s="9">
        <v>2</v>
      </c>
      <c r="Z16" s="9">
        <v>2</v>
      </c>
      <c r="AA16" s="7" t="s">
        <v>100</v>
      </c>
      <c r="AD16" s="7" t="s">
        <v>100</v>
      </c>
      <c r="AF16" s="7" t="s">
        <v>100</v>
      </c>
      <c r="AI16" s="7" t="s">
        <v>100</v>
      </c>
      <c r="AK16" s="10" t="str">
        <f>AL16/AM16</f>
        <v>0</v>
      </c>
      <c r="AL16" s="9">
        <v>0</v>
      </c>
      <c r="AM16" s="9">
        <v>1</v>
      </c>
      <c r="AN16" s="9">
        <v>1</v>
      </c>
      <c r="AO16" s="9">
        <v>1</v>
      </c>
      <c r="AP16" s="10" t="str">
        <f>AQ16/AR16</f>
        <v>0.5</v>
      </c>
      <c r="AQ16" s="9">
        <v>1</v>
      </c>
      <c r="AR16" s="9">
        <v>2</v>
      </c>
      <c r="AS16" s="9">
        <v>2</v>
      </c>
      <c r="AT16" s="9">
        <v>2</v>
      </c>
      <c r="AU16" s="7" t="s">
        <v>100</v>
      </c>
      <c r="AX16" s="7" t="s">
        <v>100</v>
      </c>
      <c r="AZ16" s="10" t="str">
        <f>BA16/BB16</f>
        <v>0</v>
      </c>
      <c r="BA16" s="9">
        <v>0</v>
      </c>
      <c r="BB16" s="9">
        <v>2</v>
      </c>
      <c r="BC16" s="9">
        <v>2</v>
      </c>
      <c r="BD16" s="9">
        <v>2</v>
      </c>
      <c r="BE16" s="7" t="s">
        <v>100</v>
      </c>
      <c r="BH16" s="7" t="s">
        <v>100</v>
      </c>
      <c r="BJ16" s="7" t="s">
        <v>100</v>
      </c>
      <c r="BM16" s="7" t="s">
        <v>100</v>
      </c>
      <c r="BO16" s="10" t="str">
        <f>BP16/BQ16</f>
        <v>0.5</v>
      </c>
      <c r="BP16" s="9">
        <v>1</v>
      </c>
      <c r="BQ16" s="9">
        <v>2</v>
      </c>
      <c r="BR16" s="9">
        <v>2</v>
      </c>
      <c r="BS16" s="9">
        <v>2</v>
      </c>
      <c r="BT16" s="10" t="str">
        <f>BU16/BV16</f>
        <v>0.26666666666666666</v>
      </c>
      <c r="BU16" s="9">
        <v>4</v>
      </c>
      <c r="BV16" s="9">
        <v>15</v>
      </c>
      <c r="BW16" s="9">
        <v>15</v>
      </c>
      <c r="BX16" s="9">
        <v>15</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100</v>
      </c>
      <c r="T17" s="7" t="s">
        <v>100</v>
      </c>
      <c r="V17" s="7" t="s">
        <v>100</v>
      </c>
      <c r="Y17" s="7" t="s">
        <v>100</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10" t="str">
        <f>AV17/AW17</f>
        <v>0</v>
      </c>
      <c r="AV17" s="9">
        <v>0</v>
      </c>
      <c r="AW17" s="9">
        <v>1</v>
      </c>
      <c r="AX17" s="9">
        <v>1</v>
      </c>
      <c r="AY17" s="9">
        <v>1</v>
      </c>
      <c r="AZ17" s="7" t="s">
        <v>100</v>
      </c>
      <c r="BC17" s="7" t="s">
        <v>100</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0.3404255319148936</v>
      </c>
      <c r="C18" s="16">
        <v>16</v>
      </c>
      <c r="D18" s="16">
        <v>47</v>
      </c>
      <c r="E18" s="16">
        <v>47</v>
      </c>
      <c r="F18" s="16">
        <v>47</v>
      </c>
      <c r="G18" s="17" t="str">
        <f>H18/I18</f>
        <v>0.47058823529411764</v>
      </c>
      <c r="H18" s="16">
        <v>16</v>
      </c>
      <c r="I18" s="16">
        <v>34</v>
      </c>
      <c r="J18" s="16">
        <v>34</v>
      </c>
      <c r="K18" s="16">
        <v>34</v>
      </c>
      <c r="L18" s="17" t="str">
        <f>M18/N18</f>
        <v>0.20833333333333334</v>
      </c>
      <c r="M18" s="16">
        <v>5</v>
      </c>
      <c r="N18" s="16">
        <v>24</v>
      </c>
      <c r="O18" s="16">
        <v>24</v>
      </c>
      <c r="P18" s="16">
        <v>24</v>
      </c>
      <c r="Q18" s="17" t="str">
        <f>R18/S18</f>
        <v>0.2727272727272727</v>
      </c>
      <c r="R18" s="16">
        <v>6</v>
      </c>
      <c r="S18" s="16">
        <v>22</v>
      </c>
      <c r="T18" s="16">
        <v>22</v>
      </c>
      <c r="U18" s="16">
        <v>22</v>
      </c>
      <c r="V18" s="17" t="str">
        <f>W18/X18</f>
        <v>0.3157894736842105</v>
      </c>
      <c r="W18" s="16">
        <v>6</v>
      </c>
      <c r="X18" s="16">
        <v>19</v>
      </c>
      <c r="Y18" s="16">
        <v>19</v>
      </c>
      <c r="Z18" s="16">
        <v>19</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0.26666666666666666</v>
      </c>
      <c r="AV18" s="16">
        <v>4</v>
      </c>
      <c r="AW18" s="16">
        <v>15</v>
      </c>
      <c r="AX18" s="16">
        <v>15</v>
      </c>
      <c r="AY18" s="16">
        <v>15</v>
      </c>
      <c r="AZ18" s="17" t="str">
        <f>BA18/BB18</f>
        <v>0.21428571428571427</v>
      </c>
      <c r="BA18" s="16">
        <v>3</v>
      </c>
      <c r="BB18" s="16">
        <v>14</v>
      </c>
      <c r="BC18" s="16">
        <v>14</v>
      </c>
      <c r="BD18" s="16">
        <v>14</v>
      </c>
      <c r="BE18" s="17" t="str">
        <f>BF18/BG18</f>
        <v>0.2727272727272727</v>
      </c>
      <c r="BF18" s="16">
        <v>3</v>
      </c>
      <c r="BG18" s="16">
        <v>11</v>
      </c>
      <c r="BH18" s="16">
        <v>11</v>
      </c>
      <c r="BI18" s="16">
        <v>11</v>
      </c>
      <c r="BJ18" s="17" t="str">
        <f>BK18/BL18</f>
        <v>0.4</v>
      </c>
      <c r="BK18" s="16">
        <v>4</v>
      </c>
      <c r="BL18" s="16">
        <v>10</v>
      </c>
      <c r="BM18" s="16">
        <v>10</v>
      </c>
      <c r="BN18" s="16">
        <v>10</v>
      </c>
      <c r="BO18" s="17" t="str">
        <f>BP18/BQ18</f>
        <v>0.20930232558139536</v>
      </c>
      <c r="BP18" s="16">
        <v>9</v>
      </c>
      <c r="BQ18" s="16">
        <v>43</v>
      </c>
      <c r="BR18" s="16">
        <v>43</v>
      </c>
      <c r="BS18" s="16">
        <v>43</v>
      </c>
      <c r="BT18" s="17" t="str">
        <f>BU18/BV18</f>
        <v>0.28104575163398693</v>
      </c>
      <c r="BU18" s="16">
        <v>86</v>
      </c>
      <c r="BV18" s="16">
        <v>306</v>
      </c>
      <c r="BW18" s="16">
        <v>306</v>
      </c>
      <c r="BX18" s="16">
        <v>306</v>
      </c>
    </row>
    <row r="20">
      <c r="A20" s="3" t="s">
        <v>108</v>
      </c>
    </row>
    <row r="21">
      <c r="A21" s="3" t="s">
        <v>109</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112</v>
      </c>
    </row>
    <row r="3">
      <c r="A3" s="8" t="s">
        <v>113</v>
      </c>
    </row>
    <row r="4">
      <c r="A4" s="3" t="s">
        <v>114</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0.125</v>
      </c>
      <c r="C6" s="10" t="str">
        <f>'통계표'!$G$8</f>
        <v>0.5833333333333334</v>
      </c>
      <c r="D6" s="10" t="str">
        <f>'통계표'!$L$8</f>
        <v>0.2857142857142857</v>
      </c>
      <c r="E6" s="10" t="str">
        <f>'통계표'!$Q$8</f>
        <v>0.2</v>
      </c>
      <c r="F6" s="10" t="str">
        <f>'통계표'!$V$8</f>
        <v>0.4</v>
      </c>
      <c r="G6" s="10" t="str">
        <f>'통계표'!$AA$8</f>
        <v>0</v>
      </c>
      <c r="H6" s="10" t="str">
        <f>'통계표'!$AF$8</f>
        <v>0.3333333333333333</v>
      </c>
      <c r="I6" s="10" t="str">
        <f>'통계표'!$AK$8</f>
        <v>0</v>
      </c>
      <c r="J6" s="10" t="str">
        <f>'통계표'!$AP$8</f>
        <v>0</v>
      </c>
      <c r="K6" s="10" t="str">
        <f>'통계표'!$AU$8</f>
        <v>0</v>
      </c>
      <c r="L6" s="10" t="str">
        <f>'통계표'!$AZ$8</f>
        <v>0.3333333333333333</v>
      </c>
      <c r="M6" s="10" t="str">
        <f>'통계표'!$BE$8</f>
        <v>0.3333333333333333</v>
      </c>
      <c r="N6" s="10" t="str">
        <f>'통계표'!$BJ$8</f>
        <v>0</v>
      </c>
      <c r="O6" s="10" t="str">
        <f>'통계표'!$BO$8</f>
        <v>0.25</v>
      </c>
    </row>
    <row r="7">
      <c r="A7" s="5" t="s">
        <v>97</v>
      </c>
      <c r="B7" s="10" t="str">
        <f>'통계표'!$B$9</f>
        <v>0.1111111111111111</v>
      </c>
      <c r="C7" s="10" t="str">
        <f>'통계표'!$G$9</f>
        <v>0.6</v>
      </c>
      <c r="D7" s="10" t="str">
        <f>'통계표'!$L$9</f>
        <v>0.3333333333333333</v>
      </c>
      <c r="E7" s="10" t="str">
        <f>'통계표'!$Q$9</f>
        <v>0.3333333333333333</v>
      </c>
      <c r="F7" s="10" t="str">
        <f>'통계표'!$V$9</f>
        <v>0.3333333333333333</v>
      </c>
      <c r="G7" s="10" t="str">
        <f>'통계표'!$AA$9</f>
        <v>0.25</v>
      </c>
      <c r="H7" s="10" t="str">
        <f>'통계표'!$AF$9</f>
        <v>0</v>
      </c>
      <c r="I7" s="10" t="str">
        <f>'통계표'!$AK$9</f>
        <v>0</v>
      </c>
      <c r="J7" s="10" t="str">
        <f>'통계표'!$AP$9</f>
        <v>0</v>
      </c>
      <c r="K7" s="10" t="str">
        <f>'통계표'!$AU$9</f>
        <v>0</v>
      </c>
      <c r="L7" s="10" t="str">
        <f>'통계표'!$AZ$9</f>
        <v>0</v>
      </c>
      <c r="M7" s="10" t="str">
        <f>'통계표'!$BE$9</f>
        <v>0.6666666666666666</v>
      </c>
      <c r="N7" s="10" t="str">
        <f>'통계표'!$BJ$9</f>
        <v>0.3333333333333333</v>
      </c>
      <c r="O7" s="10" t="str">
        <f>'통계표'!$BO$9</f>
        <v>0.25</v>
      </c>
    </row>
    <row r="8">
      <c r="A8" s="5" t="s">
        <v>98</v>
      </c>
      <c r="B8" s="10" t="str">
        <f>'통계표'!$B$10</f>
        <v>0.4444444444444444</v>
      </c>
      <c r="C8" s="10" t="str">
        <f>'통계표'!$G$10</f>
        <v>0.2</v>
      </c>
      <c r="D8" s="10" t="str">
        <f>'통계표'!$L$10</f>
        <v>0</v>
      </c>
      <c r="E8" s="10" t="str">
        <f>'통계표'!$Q$10</f>
        <v>0.5</v>
      </c>
      <c r="F8" s="10" t="str">
        <f>'통계표'!$V$10</f>
        <v>0.4</v>
      </c>
      <c r="G8" s="10" t="str">
        <f>'통계표'!$AA$10</f>
        <v>0.25</v>
      </c>
      <c r="H8" s="10" t="str">
        <f>'통계표'!$AF$10</f>
        <v>0</v>
      </c>
      <c r="I8" s="10" t="str">
        <f>'통계표'!$AK$10</f>
        <v>0</v>
      </c>
      <c r="J8" s="10" t="str">
        <f>'통계표'!$AP$10</f>
        <v>0.2</v>
      </c>
      <c r="K8" s="10" t="str">
        <f>'통계표'!$AU$10</f>
        <v>0</v>
      </c>
      <c r="L8" s="10" t="str">
        <f>'통계표'!$AZ$10</f>
        <v>0</v>
      </c>
      <c r="M8" s="10" t="str">
        <f>'통계표'!$BE$10</f>
        <v>0</v>
      </c>
      <c r="N8" s="10" t="str">
        <f>'통계표'!$BJ$10</f>
        <v>0.6666666666666666</v>
      </c>
      <c r="O8" s="10" t="str">
        <f>'통계표'!$BO$10</f>
        <v>0.2857142857142857</v>
      </c>
    </row>
    <row r="9">
      <c r="A9" s="5" t="s">
        <v>99</v>
      </c>
      <c r="B9" s="10" t="str">
        <f>'통계표'!$B$11</f>
        <v>0.2857142857142857</v>
      </c>
      <c r="C9" s="10" t="str">
        <f>'통계표'!$G$11</f>
        <v>0</v>
      </c>
      <c r="D9" s="10" t="str">
        <f>'통계표'!$L$11</f>
        <v>0</v>
      </c>
      <c r="E9" s="10" t="str">
        <f>'통계표'!$Q$11</f>
        <v>0</v>
      </c>
      <c r="F9" s="10" t="str">
        <f>'통계표'!$V$11</f>
        <v>0</v>
      </c>
      <c r="H9" s="10" t="str">
        <f>'통계표'!$AF$11</f>
        <v>1</v>
      </c>
      <c r="I9" s="10" t="str">
        <f>'통계표'!$AK$11</f>
        <v>0.3333333333333333</v>
      </c>
      <c r="J9" s="10" t="str">
        <f>'통계표'!$AP$11</f>
        <v>0.5</v>
      </c>
      <c r="K9" s="10" t="str">
        <f>'통계표'!$AU$11</f>
        <v>0.5</v>
      </c>
      <c r="L9" s="10" t="str">
        <f>'통계표'!$AZ$11</f>
        <v>0.5</v>
      </c>
      <c r="O9" s="10" t="str">
        <f>'통계표'!$BO$11</f>
        <v>0</v>
      </c>
    </row>
    <row r="10">
      <c r="A10" s="5" t="s">
        <v>101</v>
      </c>
      <c r="B10" s="10" t="str">
        <f>'통계표'!$B$12</f>
        <v>0.8</v>
      </c>
      <c r="C10" s="10" t="str">
        <f>'통계표'!$G$12</f>
        <v>0.5</v>
      </c>
      <c r="E10" s="10" t="str">
        <f>'통계표'!$Q$12</f>
        <v>0</v>
      </c>
      <c r="F10" s="10" t="str">
        <f>'통계표'!$V$12</f>
        <v>0.3333333333333333</v>
      </c>
      <c r="G10" s="10" t="str">
        <f>'통계표'!$AA$12</f>
        <v>1</v>
      </c>
      <c r="H10" s="10" t="str">
        <f>'통계표'!$AF$12</f>
        <v>0</v>
      </c>
      <c r="K10" s="10" t="str">
        <f>'통계표'!$AU$12</f>
        <v>0.5</v>
      </c>
      <c r="L10" s="10" t="str">
        <f>'통계표'!$AZ$12</f>
        <v>1</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L11" s="10" t="str">
        <f>'통계표'!$AZ$13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1</v>
      </c>
      <c r="L13" s="10" t="str">
        <f>'통계표'!$AZ$15</f>
        <v>0</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L14" s="10" t="str">
        <f>'통계표'!$AZ$16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K15" s="10" t="str">
        <f>'통계표'!$AU$17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110</v>
      </c>
    </row>
    <row r="2">
      <c r="A2" s="3" t="s">
        <v>111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115</v>
      </c>
    </row>
    <row r="3">
      <c r="A3" s="8" t="s">
        <v>116</v>
      </c>
      <c r="B3" s="2" t="s">
        <v>117</v>
      </c>
    </row>
    <row r="4">
      <c r="A4" s="8" t="s">
        <v>118</v>
      </c>
      <c r="B4" s="2" t="s">
        <v>119</v>
      </c>
    </row>
    <row r="5">
      <c r="A5" s="8" t="s">
        <v>120</v>
      </c>
      <c r="B5" s="2" t="s">
        <v>121</v>
      </c>
    </row>
    <row r="6">
      <c r="A6" s="8" t="s">
        <v>122</v>
      </c>
      <c r="B6" s="2" t="s">
        <v>123</v>
      </c>
    </row>
    <row r="7">
      <c r="A7" s="8" t="s">
        <v>124</v>
      </c>
      <c r="B7" s="2" t="s">
        <v>125</v>
      </c>
    </row>
    <row r="8">
      <c r="A8" s="8" t="s">
        <v>126</v>
      </c>
      <c r="B8" s="2" t="s">
        <v>127</v>
      </c>
    </row>
    <row r="9">
      <c r="A9" s="8" t="s">
        <v>128</v>
      </c>
      <c r="B9" s="2" t="s">
        <v>3</v>
      </c>
    </row>
    <row r="10">
      <c r="A10" s="8" t="s">
        <v>129</v>
      </c>
      <c r="B10" s="2" t="s">
        <v>130</v>
      </c>
    </row>
    <row r="11">
      <c r="A11" s="8" t="s">
        <v>131</v>
      </c>
      <c r="B11" s="2" t="s">
        <v>132</v>
      </c>
    </row>
    <row r="12">
      <c r="A12" s="8" t="s">
        <v>133</v>
      </c>
      <c r="B12" s="2" t="s">
        <v>134</v>
      </c>
    </row>
    <row r="13">
      <c r="A13" s="8" t="s">
        <v>135</v>
      </c>
      <c r="B13" s="2" t="s">
        <v>136</v>
      </c>
    </row>
    <row r="14">
      <c r="A14" s="8" t="s">
        <v>137</v>
      </c>
      <c r="B14" s="2" t="s">
        <v>138</v>
      </c>
    </row>
    <row r="15">
      <c r="A15" s="8" t="s">
        <v>139</v>
      </c>
      <c r="B15" s="2" t="s">
        <v>140</v>
      </c>
    </row>
    <row r="16">
      <c r="A16" s="8" t="s">
        <v>141</v>
      </c>
      <c r="B16" s="2" t="s">
        <v>142</v>
      </c>
    </row>
    <row r="17">
      <c r="A17" s="8" t="s">
        <v>143</v>
      </c>
      <c r="B17" s="2" t="s">
        <v>144</v>
      </c>
    </row>
    <row r="18">
      <c r="A18" s="8" t="s">
        <v>145</v>
      </c>
      <c r="B18" s="2" t="s">
        <v>146</v>
      </c>
    </row>
    <row r="19">
      <c r="A19" s="8" t="s">
        <v>147</v>
      </c>
      <c r="B19" s="2" t="s">
        <v>148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2026-10-03T16:34:08.542Z</dcterms:created>
  <dcterms:modified xsi:type="dcterms:W3CDTF">2026-10-03T16:34:08.542Z</dcterms:modified>
</coreProperties>
</file>
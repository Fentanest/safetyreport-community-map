
<file path=[Content_Types].xml><?xml version="1.0" encoding="utf-8"?>
<Types xmlns="http://schemas.openxmlformats.org/package/2006/content-types">
  <Default Extension="rels" ContentType="application/vnd.openxmlformats-package.relationships+xml"/>
  <Default Extension="xml" ContentType="application/xml"/>
  <Default Extension="svg" ContentType="image/svg"/>
  <Default Extension="wmz" ContentType="image/x-wmz"/>
  <Default Extension="bmp" ContentType="image/bmp"/>
  <Default Extension="ico" ContentType="image/x-ico"/>
  <Default Extension="jpeg" ContentType="image/jpeg"/>
  <Default Extension="png" ContentType="image/png"/>
  <Default Extension="tiff" ContentType="image/tiff"/>
  <Default Extension="emf" ContentType="image/x-emf"/>
  <Default Extension="wmf" ContentType="image/x-wmf"/>
  <Default Extension="emz" ContentType="image/x-emz"/>
  <Default Extension="gif" ContentType="image/gif"/>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charts/chart1.xml" ContentType="application/vnd.openxmlformats-officedocument.drawingml.chart+xml"/>
  <Override PartName="/xl/drawings/drawing1.xml" ContentType="application/vnd.openxmlformats-officedocument.drawing+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통계표" sheetId="1" r:id="rId1"/>
    <sheet name="차트" sheetId="2" r:id="rId4"/>
    <sheet name="차트 데이터" sheetId="3" r:id="rId5"/>
    <sheet name="조회 조건" sheetId="4" r:id="rId6"/>
  </sheets>
  <calcPr calcId="122211" fullCalcOnLoad="true"/>
</workbook>
</file>

<file path=xl/sharedStrings.xml><?xml version="1.0" encoding="utf-8"?>
<sst xmlns="http://schemas.openxmlformats.org/spreadsheetml/2006/main" count="74" uniqueCount="74">
  <si>
    <t>월별 추이 · 건수</t>
  </si>
  <si>
    <t>2026-10-04 01:33:02 (한국 시간)에 내려받은 결과입니다. 조건은 ‘조회 조건’ 시트에 있습니다.</t>
  </si>
  <si>
    <t/>
  </si>
  <si>
    <t>답변월</t>
  </si>
  <si>
    <t>건수</t>
  </si>
  <si>
    <t>건수 · 신고(건, 답변월)</t>
  </si>
  <si>
    <t>건수 · 답변 완료(건, 답변월)</t>
  </si>
  <si>
    <t>건수 · 내 신고(건, 답변월)</t>
  </si>
  <si>
    <t>건수 · 내 답변 완료(건, 답변월)</t>
  </si>
  <si>
    <t>전체</t>
  </si>
  <si>
    <t>전체 · 분류된 답변(건)</t>
  </si>
  <si>
    <t>전체 · 수용(건)</t>
  </si>
  <si>
    <t>전체 · 일부 수용(건)</t>
  </si>
  <si>
    <t>전체 · 불수용(건)</t>
  </si>
  <si>
    <t>전체 · 과태료 처분(건)</t>
  </si>
  <si>
    <t>전체 · 수용률 (수용 ÷ (수용+일부수용+불수용))</t>
  </si>
  <si>
    <t>전체 · 불수용률 (불수용 ÷ (수용+일부수용+불수용))</t>
  </si>
  <si>
    <t>전체 · 일부수용률 (일부수용 ÷ (수용+일부수용+불수용))</t>
  </si>
  <si>
    <t>전체 · 과태료 부과율 (과태료 처분 ÷ 답변)</t>
  </si>
  <si>
    <t>내 신고</t>
  </si>
  <si>
    <t>내 신고 · 분류된 답변(건)</t>
  </si>
  <si>
    <t>내 신고 · 수용(건)</t>
  </si>
  <si>
    <t>내 신고 · 일부 수용(건)</t>
  </si>
  <si>
    <t>내 신고 · 불수용(건)</t>
  </si>
  <si>
    <t>내 신고 · 과태료 처분(건)</t>
  </si>
  <si>
    <t>내 신고 · 수용률 (수용 ÷ (수용+일부수용+불수용))</t>
  </si>
  <si>
    <t>내 신고 · 불수용률 (불수용 ÷ (수용+일부수용+불수용))</t>
  </si>
  <si>
    <t>내 신고 · 일부수용률 (일부수용 ÷ (수용+일부수용+불수용))</t>
  </si>
  <si>
    <t>내 신고 · 과태료 부과율 (과태료 처분 ÷ 답변)</t>
  </si>
  <si>
    <t>비고</t>
  </si>
  <si>
    <t>일부 기간(10.5~10.31)</t>
  </si>
  <si>
    <t>자료 마지막 월(09.24까지)</t>
  </si>
  <si>
    <t>자료 없음</t>
  </si>
  <si>
    <t>일부 기간(10.1~10.4) · 이번 달 진행 중 · 데이터 제공 종료 이후</t>
  </si>
  <si>
    <t>비율은 같은 줄의 ‘해당 건수 ÷ 기준 건수’ 수식입니다.</t>
  </si>
  <si>
    <t>차트 데이터</t>
  </si>
  <si>
    <t>차트가 그리는 숫자입니다. ‘통계표’ 시트에서 가져옵니다.</t>
  </si>
  <si>
    <t>월별 추이 · 건수 · 차트</t>
  </si>
  <si>
    <t>답변월별 신고·답변 건수</t>
  </si>
  <si>
    <t>신고</t>
  </si>
  <si>
    <t>답변 완료</t>
  </si>
  <si>
    <t>2025-10</t>
  </si>
  <si>
    <t>2025-11</t>
  </si>
  <si>
    <t>2025-12</t>
  </si>
  <si>
    <t>2026-01</t>
  </si>
  <si>
    <t>2026-02</t>
  </si>
  <si>
    <t>2026-03</t>
  </si>
  <si>
    <t>2026-04</t>
  </si>
  <si>
    <t>2026-05</t>
  </si>
  <si>
    <t>2026-06</t>
  </si>
  <si>
    <t>2026-07</t>
  </si>
  <si>
    <t>2026-08</t>
  </si>
  <si>
    <t>2026-09</t>
  </si>
  <si>
    <t>2026-10</t>
  </si>
  <si>
    <t>월별 추이 · 건수 · 조회 조건</t>
  </si>
  <si>
    <t>내려받은 시각</t>
  </si>
  <si>
    <t>2026-10-04 01:33:02 (한국 시간)</t>
  </si>
  <si>
    <t>자료 버전</t>
  </si>
  <si>
    <t>e2e-synthetic-1</t>
  </si>
  <si>
    <t>날짜 기준</t>
  </si>
  <si>
    <t>답변일</t>
  </si>
  <si>
    <t>기간</t>
  </si>
  <si>
    <t>2025-10-05 — 2026-10-04 · 일부 기간: 첫 달은 2025.10.05부터, 마지막 달은 2026.10.04까지</t>
  </si>
  <si>
    <t>대상 범위</t>
  </si>
  <si>
    <t>전국 · 모든 분류</t>
  </si>
  <si>
    <t>보기</t>
  </si>
  <si>
    <t>건수 (신고·답변)</t>
  </si>
  <si>
    <t>함께 넣음</t>
  </si>
  <si>
    <t>계산 방법</t>
  </si>
  <si>
    <t>수용률·일부수용률·불수용률은 (수용+일부수용+불수용) 중 비율, 과태료 부과율은 전체 답변 중 과태료 처분의 비율입니다. 미분류는 안전신문고 처리 상태가 ‘답변완료’·‘기타’라 수용 여부가 없는 답변입니다.</t>
  </si>
  <si>
    <t>빈 칸의 뜻</t>
  </si>
  <si>
    <t>계산 불가: 기준 신고 0건 · 제공 안 됨: 아직 없는 항목 · 자료 없음: 자료 기간 밖</t>
  </si>
  <si>
    <t>이 파일에 대해</t>
  </si>
  <si>
    <t>내려받은 시점의 결과입니다.</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</si>
</sst>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7">
    <numFmt numFmtId="164" formatCode="#,##0&quot;건&quot;"/>
    <numFmt numFmtId="165" formatCode="0.0%"/>
    <numFmt numFmtId="166" formatCode="#,##0&quot;원&quot;"/>
    <numFmt numFmtId="167" formatCode="0.0&quot;일&quot;"/>
    <numFmt numFmtId="168" formatCode="0.00&quot;점&quot;"/>
    <numFmt numFmtId="169" formatCode="yyyy-mm"/>
    <numFmt numFmtId="170" formatCode="@"/>
  </numFmts>
  <fonts count="6">
    <font>
      <name val="Calibri"/>
      <family val="2"/>
      <color theme="1"/>
      <sz val="11"/>
    </font>
    <font>
      <name val="맑은 고딕"/>
      <family val="2"/>
      <b val="1"/>
      <color rgb="FF111827"/>
      <sz val="14"/>
    </font>
    <font>
      <name val="맑은 고딕"/>
      <family val="2"/>
      <color rgb="FF4B5563"/>
      <sz val="10"/>
    </font>
    <font>
      <name val="맑은 고딕"/>
      <family val="2"/>
      <b val="1"/>
      <color rgb="FF1F2937"/>
      <sz val="10"/>
    </font>
    <font>
      <name val="맑은 고딕"/>
      <family val="2"/>
      <color rgb="FF1F2937"/>
      <sz val="10"/>
    </font>
    <font>
      <name val="맑은 고딕"/>
      <family val="2"/>
      <i val="1"/>
      <color rgb="FF6B7280"/>
      <sz val="10"/>
    </font>
  </fonts>
  <fills count="4">
    <fill>
      <patternFill patternType="none"/>
    </fill>
    <fill>
      <patternFill patternType="gray125"/>
    </fill>
    <fill>
      <patternFill patternType="solid">
        <fgColor rgb="FFF3F4F6"/>
      </patternFill>
    </fill>
    <fill>
      <patternFill patternType="solid">
        <fgColor rgb="FFF9FAFB"/>
      </patternFill>
    </fill>
  </fills>
  <borders count="2">
    <border>
      <left/>
      <right/>
      <top/>
      <bottom/>
      <diagonal/>
    </border>
    <border>
      <bottom style="thin">
        <color rgb="FFD1D5DB"/>
      </bottom>
    </border>
  </borders>
  <cellStyleXfs count="1">
    <xf numFmtId="0" fontId="0" fillId="0" borderId="0"/>
  </cellStyleXfs>
  <cellXfs count="23">
    <xf numFmtId="0" fontId="0" fillId="0" borderId="0" xfId="0"/>
    <xf numFmtId="0" fontId="1" fillId="0" borderId="0" xfId="0" applyFont="true" applyAlignment="false">
      <alignment/>
    </xf>
    <xf numFmtId="0" fontId="2" fillId="0" borderId="0" xfId="0" applyFont="true" applyAlignment="true">
      <alignment vertical="top" wrapText="true"/>
    </xf>
    <xf numFmtId="0" fontId="2" fillId="0" borderId="0" xfId="0" applyFont="true" applyAlignment="false">
      <alignment/>
    </xf>
    <xf numFmtId="0" fontId="3" fillId="2" borderId="1" xfId="0" applyFont="true" applyFill="true" applyBorder="true" applyAlignment="true">
      <alignment horizontal="center" vertical="center" wrapText="true"/>
    </xf>
    <xf numFmtId="0" fontId="4" fillId="0" borderId="0" xfId="0" applyFont="true" applyAlignment="true">
      <alignment vertical="top" wrapText="true"/>
    </xf>
    <xf numFmtId="0" fontId="3" fillId="3" borderId="0" xfId="0" applyFont="true" applyFill="true" applyAlignment="false">
      <alignment/>
    </xf>
    <xf numFmtId="0" fontId="5" fillId="0" borderId="0" xfId="0" applyFont="true" applyAlignment="true">
      <alignment horizontal="right"/>
    </xf>
    <xf numFmtId="0" fontId="3" fillId="0" borderId="0" xfId="0" applyFont="true" applyAlignment="true">
      <alignment vertical="top"/>
    </xf>
    <xf numFmtId="164" fontId="4" fillId="0" borderId="0" xfId="0" applyNumberFormat="true" applyFont="true" applyAlignment="true">
      <alignment horizontal="right"/>
    </xf>
    <xf numFmtId="165" fontId="4" fillId="0" borderId="0" xfId="0" applyNumberFormat="true" applyFont="true" applyAlignment="true">
      <alignment horizontal="right"/>
    </xf>
    <xf numFmtId="166" fontId="4" fillId="0" borderId="0" xfId="0" applyNumberFormat="true" applyFont="true" applyAlignment="true">
      <alignment horizontal="right"/>
    </xf>
    <xf numFmtId="167" fontId="4" fillId="0" borderId="0" xfId="0" applyNumberFormat="true" applyFont="true" applyAlignment="true">
      <alignment horizontal="right"/>
    </xf>
    <xf numFmtId="168" fontId="4" fillId="0" borderId="0" xfId="0" applyNumberFormat="true" applyFont="true" applyAlignment="true">
      <alignment horizontal="right"/>
    </xf>
    <xf numFmtId="169" fontId="4" fillId="0" borderId="0" xfId="0" applyNumberFormat="true" applyFont="true" applyAlignment="true">
      <alignment horizontal="right"/>
    </xf>
    <xf numFmtId="170" fontId="4" fillId="0" borderId="0" xfId="0" applyNumberFormat="true" applyFont="true" applyAlignment="true">
      <alignment horizontal="left"/>
    </xf>
    <xf numFmtId="164" fontId="3" fillId="3" borderId="0" xfId="0" applyNumberFormat="true" applyFont="true" applyFill="true" applyAlignment="true">
      <alignment horizontal="right"/>
    </xf>
    <xf numFmtId="165" fontId="3" fillId="3" borderId="0" xfId="0" applyNumberFormat="true" applyFont="true" applyFill="true" applyAlignment="true">
      <alignment horizontal="right"/>
    </xf>
    <xf numFmtId="166" fontId="3" fillId="3" borderId="0" xfId="0" applyNumberFormat="true" applyFont="true" applyFill="true" applyAlignment="true">
      <alignment horizontal="right"/>
    </xf>
    <xf numFmtId="167" fontId="3" fillId="3" borderId="0" xfId="0" applyNumberFormat="true" applyFont="true" applyFill="true" applyAlignment="true">
      <alignment horizontal="right"/>
    </xf>
    <xf numFmtId="168" fontId="3" fillId="3" borderId="0" xfId="0" applyNumberFormat="true" applyFont="true" applyFill="true" applyAlignment="true">
      <alignment horizontal="right"/>
    </xf>
    <xf numFmtId="169" fontId="3" fillId="3" borderId="0" xfId="0" applyNumberFormat="true" applyFont="true" applyFill="true" applyAlignment="true">
      <alignment horizontal="right"/>
    </xf>
    <xf numFmtId="170" fontId="3" fillId="3" borderId="0" xfId="0" applyNumberFormat="true" applyFont="true" applyFill="true" applyAlignment="true">
      <alignment horizontal="righ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worksheets/sheet3.xml" Type="http://schemas.openxmlformats.org/officeDocument/2006/relationships/worksheet"></Relationship><Relationship Id="rId6" Target="worksheets/sheet4.xml" Type="http://schemas.openxmlformats.org/officeDocument/2006/relationships/worksheet"></Relationship><Relationship Id="rId7" Target="/xl/sharedStrings.xml" Type="http://schemas.openxmlformats.org/officeDocument/2006/relationships/sharedStrings"></Relationship></Relationships>
</file>

<file path=xl/charts/chart1.xml><?xml version="1.0" encoding="utf-8"?>
<chartSpace xmlns="http://schemas.openxmlformats.org/drawingml/2006/chart" xmlns:a="http://schemas.openxmlformats.org/drawingml/2006/main">
  <date1904 val="0"/>
  <lang val="en-US"/>
  <roundedCorners val="0"/>
  <chart>
    <title>
      <tx>
        <rich>
          <a:bodyPr anchorCtr="false" rot="0" spcFirstLastPara="false"/>
          <a:p>
            <a:pPr>
              <a:defRPr b="false" baseline="0" i="false" kern="0" spc="0">
                <a:latin typeface="+mn-lt"/>
                <a:ea typeface="+mn-ea"/>
                <a:cs typeface="+mn-cs"/>
              </a:defRPr>
            </a:pPr>
            <a:r>
              <a:rPr b="true" baseline="0" i="false" kern="0" spc="0" sz="1200">
                <a:solidFill>
                  <a:srgbClr val="595959"/>
                </a:solidFill>
                <a:latin typeface="맑은 고딕"/>
                <a:ea typeface="맑은 고딕"/>
                <a:cs typeface="맑은 고딕"/>
              </a:rPr>
              <a:t>답변월별 신고·답변 건수</a:t>
            </a:r>
            <a:endParaRPr lang="en-US" altLang="en-US"/>
          </a:p>
        </rich>
      </tx>
      <overlay val="0"/>
      <spPr/>
      <txPr>
        <a:bodyPr anchorCtr="false" rot="0" spcFirstLastPara="false"/>
        <a:p/>
      </txPr>
    </title>
    <view3D>
      <rotX val="0"/>
      <rotY val="0"/>
      <rAngAx val="0"/>
      <perspective val="0"/>
    </view3D>
    <floor>
      <thickness val="0"/>
    </floor>
    <sideWall>
      <thickness val="0"/>
    </sideWall>
    <backWall>
      <thickness val="0"/>
    </backWall>
    <plotArea>
      <lineChart>
        <grouping val="standard"/>
        <varyColors val="0"/>
        <ser>
          <idx val="0"/>
          <order val="0"/>
          <tx>
            <strRef>
              <f>'차트 데이터'!$B$5</f>
            </strRef>
          </tx>
          <spPr>
            <a:ln cap="rnd" w="25400"/>
          </spPr>
          <dLbls>
            <spPr/>
            <txPr>
              <a:bodyPr anchorCtr="false" rot="0" spcFirstLastPara="false"/>
              <a:p>
                <a:pPr>
                  <a:defRPr b="false" baseline="0" i="false" kern="0" spc="0"/>
                </a:pPr>
              </a:p>
            </txPr>
            <showLegendKey val="0"/>
            <showVal val="0"/>
            <showCatName val="0"/>
            <showSerName val="0"/>
            <showPercent val="0"/>
            <showBubbleSize val="0"/>
            <showLeaderLines val="0"/>
          </dLbls>
          <marker>
            <symbol val="circle"/>
            <size val="6"/>
            <spPr>
              <a:solidFill>
                <a:srgbClr val="2563EB"/>
              </a:solidFill>
            </spPr>
          </marker>
          <invertIfNegative val="0"/>
          <cat>
            <strRef>
              <f>'차트 데이터'!$A$6:$A$18</f>
            </strRef>
          </cat>
          <val>
            <numRef>
              <f>'차트 데이터'!$B$6:$B$18</f>
              <numCache>
                <formatCode/>
              </numCache>
            </numRef>
          </val>
          <smooth val="0"/>
        </ser>
        <ser>
          <idx val="1"/>
          <order val="1"/>
          <tx>
            <strRef>
              <f>'차트 데이터'!$C$5</f>
            </strRef>
          </tx>
          <spPr>
            <a:ln cap="rnd" w="25400"/>
          </spPr>
          <dLbls>
            <spPr/>
            <txPr>
              <a:bodyPr anchorCtr="false" rot="0" spcFirstLastPara="false"/>
              <a:p>
                <a:pPr>
                  <a:defRPr b="false" baseline="0" i="false" kern="0" spc="0"/>
                </a:pPr>
              </a:p>
            </txPr>
            <showLegendKey val="0"/>
            <showVal val="0"/>
            <showCatName val="0"/>
            <showSerName val="0"/>
            <showPercent val="0"/>
            <showBubbleSize val="0"/>
            <showLeaderLines val="0"/>
          </dLbls>
          <marker>
            <symbol val="circle"/>
            <size val="6"/>
            <spPr>
              <a:solidFill>
                <a:srgbClr val="0891B2"/>
              </a:solidFill>
            </spPr>
          </marker>
          <invertIfNegative val="0"/>
          <cat>
            <strRef>
              <f>'차트 데이터'!$A$6:$A$18</f>
            </strRef>
          </cat>
          <val>
            <numRef>
              <f>'차트 데이터'!$C$6:$C$18</f>
              <numCache>
                <formatCode/>
              </numCache>
            </numRef>
          </val>
          <smooth val="0"/>
        </ser>
        <ser>
          <idx val="2"/>
          <order val="2"/>
          <tx>
            <strRef>
              <f>'차트 데이터'!$D$5</f>
            </strRef>
          </tx>
          <spPr>
            <a:ln cap="rnd" w="25400">
              <a:prstDash val="dash"/>
            </a:ln>
          </spPr>
          <dLbls>
            <spPr/>
            <txPr>
              <a:bodyPr anchorCtr="false" rot="0" spcFirstLastPara="false"/>
              <a:p>
                <a:pPr>
                  <a:defRPr b="false" baseline="0" i="false" kern="0" spc="0"/>
                </a:pPr>
              </a:p>
            </txPr>
            <showLegendKey val="0"/>
            <showVal val="0"/>
            <showCatName val="0"/>
            <showSerName val="0"/>
            <showPercent val="0"/>
            <showBubbleSize val="0"/>
            <showLeaderLines val="0"/>
          </dLbls>
          <marker>
            <symbol val="diamond"/>
            <size val="6"/>
            <spPr>
              <a:solidFill>
                <a:srgbClr val="2563EB"/>
              </a:solidFill>
            </spPr>
          </marker>
          <invertIfNegative val="0"/>
          <cat>
            <strRef>
              <f>'차트 데이터'!$A$6:$A$18</f>
            </strRef>
          </cat>
          <val>
            <numRef>
              <f>'차트 데이터'!$D$6:$D$18</f>
              <numCache>
                <formatCode/>
              </numCache>
            </numRef>
          </val>
          <smooth val="0"/>
        </ser>
        <dLbls>
          <showLegendKey val="0"/>
          <showVal val="0"/>
          <showCatName val="0"/>
          <showSerName val="0"/>
          <showPercent val="0"/>
          <showBubbleSize val="0"/>
          <showLeaderLines val="0"/>
        </dLbls>
        <axId val="100000000"/>
        <axId val="100000001"/>
      </lineChart>
      <catAx>
        <axId val="100000000"/>
        <scaling>
          <orientation val="minMax"/>
        </scaling>
        <delete val="0"/>
        <axPos val="b"/>
        <numFmt formatCode="General"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u="none">
                <a:solidFill>
                  <a:schemeClr val="tx1">
                    <a:lumMod val="15000"/>
                    <a:lumOff val="85000"/>
                  </a:schemeClr>
                </a:solidFill>
                <a:latin typeface="맑은 고딕"/>
                <a:ea typeface="맑은 고딕"/>
                <a:cs typeface="맑은 고딕"/>
              </a:defRPr>
            </a:pPr>
            <a:endParaRPr lang="en-US"/>
          </a:p>
        </txPr>
        <crossAx val="100000001"/>
        <crosses val="autoZero"/>
        <auto val="1"/>
        <lblAlgn val="ctr"/>
        <lblOffset val="100"/>
        <noMultiLvlLbl val="0"/>
      </catAx>
      <valAx>
        <axId val="100000001"/>
        <scaling>
          <orientation val="minMax"/>
          <min val="0"/>
        </scaling>
        <delete val="0"/>
        <axPos val="l"/>
        <majorGridlines>
          <spPr>
            <a:ln algn="ctr" cap="flat" cmpd="sng" w="9525">
              <a:solidFill>
                <a:schemeClr val="tx1">
                  <a:lumMod val="15000"/>
                  <a:lumOff val="85000"/>
                </a:schemeClr>
              </a:solidFill>
            </a:ln>
          </spPr>
        </majorGridlines>
        <numFmt formatCode="#,##0"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u="none">
                <a:solidFill>
                  <a:schemeClr val="tx1">
                    <a:lumMod val="15000"/>
                    <a:lumOff val="85000"/>
                  </a:schemeClr>
                </a:solidFill>
                <a:latin typeface="+mn-lt"/>
                <a:ea typeface="+mn-ea"/>
                <a:cs typeface="+mn-cs"/>
              </a:defRPr>
            </a:pPr>
            <a:endParaRPr lang="en-US"/>
          </a:p>
        </txPr>
        <crossAx val="100000000"/>
        <crosses val="autoZero"/>
        <crossBetween val="between"/>
      </valAx>
      <spPr/>
    </plotArea>
    <legend>
      <legendPos val="b"/>
      <overlay val="0"/>
    </legend>
    <plotVisOnly val="0"/>
    <dispBlanksAs val="gap"/>
    <showDLblsOverMax val="0"/>
  </chart>
  <spPr/>
  <printSettings>
    <pageMargins b="0.75" footer="0.3" header="0.3" l="0.7" r="0.7" t="0.7"/>
  </printSettings>
</chartSpace>
</file>

<file path=xl/drawings/_rels/drawing1.xml.rels><?xml version="1.0" encoding="UTF-8"?>
<Relationships xmlns="http://schemas.openxmlformats.org/package/2006/relationships"><Relationship Id="rId1" Target="../charts/chart1.xml" Type="http://schemas.openxmlformats.org/officeDocument/2006/relationships/chart"></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1</xdr:col>
      <xdr:colOff>0</xdr:colOff>
      <xdr:row>3</xdr:row>
      <xdr:rowOff>0</xdr:rowOff>
    </xdr:from>
    <xdr:to>
      <xdr:col>13</xdr:col>
      <xdr:colOff>495300</xdr:colOff>
      <xdr:row>21</xdr:row>
      <xdr:rowOff>0</xdr:rowOff>
    </xdr:to>
    <xdr:graphicFrame macro="">
      <xdr:nvGraphicFramePr>
        <xdr:cNvPr id="2" name="Chart 2" desc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true" fPrintsWithSheet="true"/>
  </xdr:twoCellAnchor>
</xdr:wsDr>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Right" state="frozen" topLeftCell="B6" xSplit="1" ySplit="5"/>
    </sheetView>
  </sheetViews>
  <sheetFormatPr defaultRowHeight="15"/>
  <cols>
    <col customWidth="true" max="1" min="1" width="12"/>
    <col customWidth="true" max="23" min="2" width="14"/>
    <col customWidth="true" max="24" min="24" width="16"/>
  </cols>
  <sheetData>
    <row r="1">
      <c r="A1" s="1" t="s">
        <v>0</v>
      </c>
    </row>
    <row r="2">
      <c r="A2" s="3" t="s">
        <v>1</v>
      </c>
    </row>
    <row r="4">
      <c r="A4" s="4" t="s">
        <v>2</v>
      </c>
      <c r="B4" s="4" t="s">
        <v>4</v>
      </c>
      <c r="C4" s="4" t="s">
        <v>4</v>
      </c>
      <c r="D4" s="4" t="s">
        <v>4</v>
      </c>
      <c r="E4" s="4" t="s">
        <v>4</v>
      </c>
      <c r="F4" s="4" t="s">
        <v>9</v>
      </c>
      <c r="G4" s="4" t="s">
        <v>9</v>
      </c>
      <c r="H4" s="4" t="s">
        <v>9</v>
      </c>
      <c r="I4" s="4" t="s">
        <v>9</v>
      </c>
      <c r="J4" s="4" t="s">
        <v>9</v>
      </c>
      <c r="K4" s="4" t="s">
        <v>9</v>
      </c>
      <c r="L4" s="4" t="s">
        <v>9</v>
      </c>
      <c r="M4" s="4" t="s">
        <v>9</v>
      </c>
      <c r="N4" s="4" t="s">
        <v>9</v>
      </c>
      <c r="O4" s="4" t="s">
        <v>19</v>
      </c>
      <c r="P4" s="4" t="s">
        <v>19</v>
      </c>
      <c r="Q4" s="4" t="s">
        <v>19</v>
      </c>
      <c r="R4" s="4" t="s">
        <v>19</v>
      </c>
      <c r="S4" s="4" t="s">
        <v>19</v>
      </c>
      <c r="T4" s="4" t="s">
        <v>19</v>
      </c>
      <c r="U4" s="4" t="s">
        <v>19</v>
      </c>
      <c r="V4" s="4" t="s">
        <v>19</v>
      </c>
      <c r="W4" s="4" t="s">
        <v>19</v>
      </c>
      <c r="X4" s="4" t="s">
        <v>2</v>
      </c>
    </row>
    <row r="5">
      <c r="A5" s="4" t="s">
        <v>3</v>
      </c>
      <c r="B5" s="4" t="s">
        <v>5</v>
      </c>
      <c r="C5" s="4" t="s">
        <v>6</v>
      </c>
      <c r="D5" s="4" t="s">
        <v>7</v>
      </c>
      <c r="E5" s="4" t="s">
        <v>8</v>
      </c>
      <c r="F5" s="4" t="s">
        <v>10</v>
      </c>
      <c r="G5" s="4" t="s">
        <v>11</v>
      </c>
      <c r="H5" s="4" t="s">
        <v>12</v>
      </c>
      <c r="I5" s="4" t="s">
        <v>13</v>
      </c>
      <c r="J5" s="4" t="s">
        <v>14</v>
      </c>
      <c r="K5" s="4" t="s">
        <v>15</v>
      </c>
      <c r="L5" s="4" t="s">
        <v>16</v>
      </c>
      <c r="M5" s="4" t="s">
        <v>17</v>
      </c>
      <c r="N5" s="4" t="s">
        <v>18</v>
      </c>
      <c r="O5" s="4" t="s">
        <v>20</v>
      </c>
      <c r="P5" s="4" t="s">
        <v>21</v>
      </c>
      <c r="Q5" s="4" t="s">
        <v>22</v>
      </c>
      <c r="R5" s="4" t="s">
        <v>23</v>
      </c>
      <c r="S5" s="4" t="s">
        <v>24</v>
      </c>
      <c r="T5" s="4" t="s">
        <v>25</v>
      </c>
      <c r="U5" s="4" t="s">
        <v>26</v>
      </c>
      <c r="V5" s="4" t="s">
        <v>27</v>
      </c>
      <c r="W5" s="4" t="s">
        <v>28</v>
      </c>
      <c r="X5" s="4" t="s">
        <v>29</v>
      </c>
    </row>
    <row r="6">
      <c r="A6" s="14">
        <v>45931</v>
      </c>
      <c r="B6" s="9">
        <v>20</v>
      </c>
      <c r="C6" s="9">
        <v>20</v>
      </c>
      <c r="D6" s="9">
        <v>3</v>
      </c>
      <c r="E6" s="9">
        <v>3</v>
      </c>
      <c r="F6" s="9">
        <v>15</v>
      </c>
      <c r="G6" s="9">
        <v>10</v>
      </c>
      <c r="H6" s="9">
        <v>0</v>
      </c>
      <c r="I6" s="9">
        <v>5</v>
      </c>
      <c r="J6" s="9">
        <v>7</v>
      </c>
      <c r="K6" s="10" t="str">
        <f>G6/F6</f>
        <v>0.6666666666666666</v>
      </c>
      <c r="L6" s="10" t="str">
        <f>I6/F6</f>
        <v>0.3333333333333333</v>
      </c>
      <c r="M6" s="10" t="str">
        <f>H6/F6</f>
        <v>0</v>
      </c>
      <c r="N6" s="10" t="str">
        <f>J6/C6</f>
        <v>0.35</v>
      </c>
      <c r="O6" s="9">
        <v>3</v>
      </c>
      <c r="P6" s="9">
        <v>3</v>
      </c>
      <c r="Q6" s="9">
        <v>0</v>
      </c>
      <c r="R6" s="9">
        <v>0</v>
      </c>
      <c r="S6" s="9">
        <v>2</v>
      </c>
      <c r="T6" s="10" t="str">
        <f>P6/O6</f>
        <v>1</v>
      </c>
      <c r="U6" s="10" t="str">
        <f>R6/O6</f>
        <v>0</v>
      </c>
      <c r="V6" s="10" t="str">
        <f>Q6/O6</f>
        <v>0</v>
      </c>
      <c r="W6" s="10" t="str">
        <f>S6/E6</f>
        <v>0.6666666666666666</v>
      </c>
      <c r="X6" s="5" t="s">
        <v>30</v>
      </c>
    </row>
    <row r="7">
      <c r="A7" s="14">
        <v>45962</v>
      </c>
      <c r="B7" s="9">
        <v>27</v>
      </c>
      <c r="C7" s="9">
        <v>27</v>
      </c>
      <c r="D7" s="9">
        <v>1</v>
      </c>
      <c r="E7" s="9">
        <v>1</v>
      </c>
      <c r="F7" s="9">
        <v>24</v>
      </c>
      <c r="G7" s="9">
        <v>14</v>
      </c>
      <c r="H7" s="9">
        <v>6</v>
      </c>
      <c r="I7" s="9">
        <v>4</v>
      </c>
      <c r="J7" s="9">
        <v>8</v>
      </c>
      <c r="K7" s="10" t="str">
        <f>G7/F7</f>
        <v>0.5833333333333334</v>
      </c>
      <c r="L7" s="10" t="str">
        <f>I7/F7</f>
        <v>0.16666666666666666</v>
      </c>
      <c r="M7" s="10" t="str">
        <f>H7/F7</f>
        <v>0.25</v>
      </c>
      <c r="N7" s="10" t="str">
        <f>J7/C7</f>
        <v>0.2962962962962963</v>
      </c>
      <c r="O7" s="9">
        <v>1</v>
      </c>
      <c r="P7" s="9">
        <v>0</v>
      </c>
      <c r="Q7" s="9">
        <v>1</v>
      </c>
      <c r="R7" s="9">
        <v>0</v>
      </c>
      <c r="S7" s="9">
        <v>0</v>
      </c>
      <c r="T7" s="10" t="str">
        <f>P7/O7</f>
        <v>0</v>
      </c>
      <c r="U7" s="10" t="str">
        <f>R7/O7</f>
        <v>0</v>
      </c>
      <c r="V7" s="10" t="str">
        <f>Q7/O7</f>
        <v>1</v>
      </c>
      <c r="W7" s="10" t="str">
        <f>S7/E7</f>
        <v>0</v>
      </c>
    </row>
    <row r="8">
      <c r="A8" s="14">
        <v>45992</v>
      </c>
      <c r="B8" s="9">
        <v>20</v>
      </c>
      <c r="C8" s="9">
        <v>20</v>
      </c>
      <c r="D8" s="9">
        <v>1</v>
      </c>
      <c r="E8" s="9">
        <v>1</v>
      </c>
      <c r="F8" s="9">
        <v>19</v>
      </c>
      <c r="G8" s="9">
        <v>12</v>
      </c>
      <c r="H8" s="9">
        <v>3</v>
      </c>
      <c r="I8" s="9">
        <v>4</v>
      </c>
      <c r="J8" s="9">
        <v>7</v>
      </c>
      <c r="K8" s="10" t="str">
        <f>G8/F8</f>
        <v>0.631578947368421</v>
      </c>
      <c r="L8" s="10" t="str">
        <f>I8/F8</f>
        <v>0.21052631578947367</v>
      </c>
      <c r="M8" s="10" t="str">
        <f>H8/F8</f>
        <v>0.15789473684210525</v>
      </c>
      <c r="N8" s="10" t="str">
        <f>J8/C8</f>
        <v>0.35</v>
      </c>
      <c r="O8" s="9">
        <v>1</v>
      </c>
      <c r="P8" s="9">
        <v>1</v>
      </c>
      <c r="Q8" s="9">
        <v>0</v>
      </c>
      <c r="R8" s="9">
        <v>0</v>
      </c>
      <c r="S8" s="9">
        <v>0</v>
      </c>
      <c r="T8" s="10" t="str">
        <f>P8/O8</f>
        <v>1</v>
      </c>
      <c r="U8" s="10" t="str">
        <f>R8/O8</f>
        <v>0</v>
      </c>
      <c r="V8" s="10" t="str">
        <f>Q8/O8</f>
        <v>0</v>
      </c>
      <c r="W8" s="10" t="str">
        <f>S8/E8</f>
        <v>0</v>
      </c>
    </row>
    <row r="9">
      <c r="A9" s="14">
        <v>46023</v>
      </c>
      <c r="B9" s="9">
        <v>22</v>
      </c>
      <c r="C9" s="9">
        <v>22</v>
      </c>
      <c r="D9" s="9">
        <v>2</v>
      </c>
      <c r="E9" s="9">
        <v>2</v>
      </c>
      <c r="F9" s="9">
        <v>19</v>
      </c>
      <c r="G9" s="9">
        <v>13</v>
      </c>
      <c r="H9" s="9">
        <v>1</v>
      </c>
      <c r="I9" s="9">
        <v>5</v>
      </c>
      <c r="J9" s="9">
        <v>6</v>
      </c>
      <c r="K9" s="10" t="str">
        <f>G9/F9</f>
        <v>0.6842105263157895</v>
      </c>
      <c r="L9" s="10" t="str">
        <f>I9/F9</f>
        <v>0.2631578947368421</v>
      </c>
      <c r="M9" s="10" t="str">
        <f>H9/F9</f>
        <v>0.05263157894736842</v>
      </c>
      <c r="N9" s="10" t="str">
        <f>J9/C9</f>
        <v>0.2727272727272727</v>
      </c>
      <c r="O9" s="9">
        <v>2</v>
      </c>
      <c r="P9" s="9">
        <v>1</v>
      </c>
      <c r="Q9" s="9">
        <v>0</v>
      </c>
      <c r="R9" s="9">
        <v>1</v>
      </c>
      <c r="S9" s="9">
        <v>0</v>
      </c>
      <c r="T9" s="10" t="str">
        <f>P9/O9</f>
        <v>0.5</v>
      </c>
      <c r="U9" s="10" t="str">
        <f>R9/O9</f>
        <v>0.5</v>
      </c>
      <c r="V9" s="10" t="str">
        <f>Q9/O9</f>
        <v>0</v>
      </c>
      <c r="W9" s="10" t="str">
        <f>S9/E9</f>
        <v>0</v>
      </c>
    </row>
    <row r="10">
      <c r="A10" s="14">
        <v>46054</v>
      </c>
      <c r="B10" s="9">
        <v>20</v>
      </c>
      <c r="C10" s="9">
        <v>20</v>
      </c>
      <c r="D10" s="9">
        <v>3</v>
      </c>
      <c r="E10" s="9">
        <v>3</v>
      </c>
      <c r="F10" s="9">
        <v>18</v>
      </c>
      <c r="G10" s="9">
        <v>12</v>
      </c>
      <c r="H10" s="9">
        <v>3</v>
      </c>
      <c r="I10" s="9">
        <v>3</v>
      </c>
      <c r="J10" s="9">
        <v>11</v>
      </c>
      <c r="K10" s="10" t="str">
        <f>G10/F10</f>
        <v>0.6666666666666666</v>
      </c>
      <c r="L10" s="10" t="str">
        <f>I10/F10</f>
        <v>0.16666666666666666</v>
      </c>
      <c r="M10" s="10" t="str">
        <f>H10/F10</f>
        <v>0.16666666666666666</v>
      </c>
      <c r="N10" s="10" t="str">
        <f>J10/C10</f>
        <v>0.55</v>
      </c>
      <c r="O10" s="9">
        <v>3</v>
      </c>
      <c r="P10" s="9">
        <v>3</v>
      </c>
      <c r="Q10" s="9">
        <v>0</v>
      </c>
      <c r="R10" s="9">
        <v>0</v>
      </c>
      <c r="S10" s="9">
        <v>2</v>
      </c>
      <c r="T10" s="10" t="str">
        <f>P10/O10</f>
        <v>1</v>
      </c>
      <c r="U10" s="10" t="str">
        <f>R10/O10</f>
        <v>0</v>
      </c>
      <c r="V10" s="10" t="str">
        <f>Q10/O10</f>
        <v>0</v>
      </c>
      <c r="W10" s="10" t="str">
        <f>S10/E10</f>
        <v>0.6666666666666666</v>
      </c>
    </row>
    <row r="11">
      <c r="A11" s="14">
        <v>46082</v>
      </c>
      <c r="B11" s="9">
        <v>25</v>
      </c>
      <c r="C11" s="9">
        <v>25</v>
      </c>
      <c r="D11" s="9">
        <v>2</v>
      </c>
      <c r="E11" s="9">
        <v>2</v>
      </c>
      <c r="F11" s="9">
        <v>19</v>
      </c>
      <c r="G11" s="9">
        <v>12</v>
      </c>
      <c r="H11" s="9">
        <v>3</v>
      </c>
      <c r="I11" s="9">
        <v>4</v>
      </c>
      <c r="J11" s="9">
        <v>5</v>
      </c>
      <c r="K11" s="10" t="str">
        <f>G11/F11</f>
        <v>0.631578947368421</v>
      </c>
      <c r="L11" s="10" t="str">
        <f>I11/F11</f>
        <v>0.21052631578947367</v>
      </c>
      <c r="M11" s="10" t="str">
        <f>H11/F11</f>
        <v>0.15789473684210525</v>
      </c>
      <c r="N11" s="10" t="str">
        <f>J11/C11</f>
        <v>0.2</v>
      </c>
      <c r="O11" s="9">
        <v>1</v>
      </c>
      <c r="P11" s="9">
        <v>1</v>
      </c>
      <c r="Q11" s="9">
        <v>0</v>
      </c>
      <c r="R11" s="9">
        <v>0</v>
      </c>
      <c r="S11" s="9">
        <v>0</v>
      </c>
      <c r="T11" s="10" t="str">
        <f>P11/O11</f>
        <v>1</v>
      </c>
      <c r="U11" s="10" t="str">
        <f>R11/O11</f>
        <v>0</v>
      </c>
      <c r="V11" s="10" t="str">
        <f>Q11/O11</f>
        <v>0</v>
      </c>
      <c r="W11" s="10" t="str">
        <f>S11/E11</f>
        <v>0</v>
      </c>
    </row>
    <row r="12">
      <c r="A12" s="14">
        <v>46113</v>
      </c>
      <c r="B12" s="9">
        <v>32</v>
      </c>
      <c r="C12" s="9">
        <v>32</v>
      </c>
      <c r="D12" s="9">
        <v>4</v>
      </c>
      <c r="E12" s="9">
        <v>4</v>
      </c>
      <c r="F12" s="9">
        <v>29</v>
      </c>
      <c r="G12" s="9">
        <v>21</v>
      </c>
      <c r="H12" s="9">
        <v>1</v>
      </c>
      <c r="I12" s="9">
        <v>7</v>
      </c>
      <c r="J12" s="9">
        <v>10</v>
      </c>
      <c r="K12" s="10" t="str">
        <f>G12/F12</f>
        <v>0.7241379310344828</v>
      </c>
      <c r="L12" s="10" t="str">
        <f>I12/F12</f>
        <v>0.2413793103448276</v>
      </c>
      <c r="M12" s="10" t="str">
        <f>H12/F12</f>
        <v>0.034482758620689655</v>
      </c>
      <c r="N12" s="10" t="str">
        <f>J12/C12</f>
        <v>0.3125</v>
      </c>
      <c r="O12" s="9">
        <v>4</v>
      </c>
      <c r="P12" s="9">
        <v>4</v>
      </c>
      <c r="Q12" s="9">
        <v>0</v>
      </c>
      <c r="R12" s="9">
        <v>0</v>
      </c>
      <c r="S12" s="9">
        <v>1</v>
      </c>
      <c r="T12" s="10" t="str">
        <f>P12/O12</f>
        <v>1</v>
      </c>
      <c r="U12" s="10" t="str">
        <f>R12/O12</f>
        <v>0</v>
      </c>
      <c r="V12" s="10" t="str">
        <f>Q12/O12</f>
        <v>0</v>
      </c>
      <c r="W12" s="10" t="str">
        <f>S12/E12</f>
        <v>0.25</v>
      </c>
    </row>
    <row r="13">
      <c r="A13" s="14">
        <v>46143</v>
      </c>
      <c r="B13" s="9">
        <v>22</v>
      </c>
      <c r="C13" s="9">
        <v>22</v>
      </c>
      <c r="D13" s="9">
        <v>3</v>
      </c>
      <c r="E13" s="9">
        <v>3</v>
      </c>
      <c r="F13" s="9">
        <v>20</v>
      </c>
      <c r="G13" s="9">
        <v>8</v>
      </c>
      <c r="H13" s="9">
        <v>1</v>
      </c>
      <c r="I13" s="9">
        <v>11</v>
      </c>
      <c r="J13" s="9">
        <v>2</v>
      </c>
      <c r="K13" s="10" t="str">
        <f>G13/F13</f>
        <v>0.4</v>
      </c>
      <c r="L13" s="10" t="str">
        <f>I13/F13</f>
        <v>0.55</v>
      </c>
      <c r="M13" s="10" t="str">
        <f>H13/F13</f>
        <v>0.05</v>
      </c>
      <c r="N13" s="10" t="str">
        <f>J13/C13</f>
        <v>0.09090909090909091</v>
      </c>
      <c r="O13" s="9">
        <v>2</v>
      </c>
      <c r="P13" s="9">
        <v>1</v>
      </c>
      <c r="Q13" s="9">
        <v>0</v>
      </c>
      <c r="R13" s="9">
        <v>1</v>
      </c>
      <c r="S13" s="9">
        <v>0</v>
      </c>
      <c r="T13" s="10" t="str">
        <f>P13/O13</f>
        <v>0.5</v>
      </c>
      <c r="U13" s="10" t="str">
        <f>R13/O13</f>
        <v>0.5</v>
      </c>
      <c r="V13" s="10" t="str">
        <f>Q13/O13</f>
        <v>0</v>
      </c>
      <c r="W13" s="10" t="str">
        <f>S13/E13</f>
        <v>0</v>
      </c>
    </row>
    <row r="14">
      <c r="A14" s="14">
        <v>46174</v>
      </c>
      <c r="B14" s="9">
        <v>18</v>
      </c>
      <c r="C14" s="9">
        <v>18</v>
      </c>
      <c r="D14" s="9">
        <v>4</v>
      </c>
      <c r="E14" s="9">
        <v>4</v>
      </c>
      <c r="F14" s="9">
        <v>15</v>
      </c>
      <c r="G14" s="9">
        <v>7</v>
      </c>
      <c r="H14" s="9">
        <v>2</v>
      </c>
      <c r="I14" s="9">
        <v>6</v>
      </c>
      <c r="J14" s="9">
        <v>1</v>
      </c>
      <c r="K14" s="10" t="str">
        <f>G14/F14</f>
        <v>0.4666666666666667</v>
      </c>
      <c r="L14" s="10" t="str">
        <f>I14/F14</f>
        <v>0.4</v>
      </c>
      <c r="M14" s="10" t="str">
        <f>H14/F14</f>
        <v>0.13333333333333333</v>
      </c>
      <c r="N14" s="10" t="str">
        <f>J14/C14</f>
        <v>0.05555555555555555</v>
      </c>
      <c r="O14" s="9">
        <v>4</v>
      </c>
      <c r="P14" s="9">
        <v>3</v>
      </c>
      <c r="Q14" s="9">
        <v>0</v>
      </c>
      <c r="R14" s="9">
        <v>1</v>
      </c>
      <c r="S14" s="9">
        <v>1</v>
      </c>
      <c r="T14" s="10" t="str">
        <f>P14/O14</f>
        <v>0.75</v>
      </c>
      <c r="U14" s="10" t="str">
        <f>R14/O14</f>
        <v>0.25</v>
      </c>
      <c r="V14" s="10" t="str">
        <f>Q14/O14</f>
        <v>0</v>
      </c>
      <c r="W14" s="10" t="str">
        <f>S14/E14</f>
        <v>0.25</v>
      </c>
    </row>
    <row r="15">
      <c r="A15" s="14">
        <v>46204</v>
      </c>
      <c r="B15" s="9">
        <v>34</v>
      </c>
      <c r="C15" s="9">
        <v>34</v>
      </c>
      <c r="D15" s="9">
        <v>4</v>
      </c>
      <c r="E15" s="9">
        <v>4</v>
      </c>
      <c r="F15" s="9">
        <v>32</v>
      </c>
      <c r="G15" s="9">
        <v>19</v>
      </c>
      <c r="H15" s="9">
        <v>7</v>
      </c>
      <c r="I15" s="9">
        <v>6</v>
      </c>
      <c r="J15" s="9">
        <v>9</v>
      </c>
      <c r="K15" s="10" t="str">
        <f>G15/F15</f>
        <v>0.59375</v>
      </c>
      <c r="L15" s="10" t="str">
        <f>I15/F15</f>
        <v>0.1875</v>
      </c>
      <c r="M15" s="10" t="str">
        <f>H15/F15</f>
        <v>0.21875</v>
      </c>
      <c r="N15" s="10" t="str">
        <f>J15/C15</f>
        <v>0.2647058823529412</v>
      </c>
      <c r="O15" s="9">
        <v>4</v>
      </c>
      <c r="P15" s="9">
        <v>4</v>
      </c>
      <c r="Q15" s="9">
        <v>0</v>
      </c>
      <c r="R15" s="9">
        <v>0</v>
      </c>
      <c r="S15" s="9">
        <v>3</v>
      </c>
      <c r="T15" s="10" t="str">
        <f>P15/O15</f>
        <v>1</v>
      </c>
      <c r="U15" s="10" t="str">
        <f>R15/O15</f>
        <v>0</v>
      </c>
      <c r="V15" s="10" t="str">
        <f>Q15/O15</f>
        <v>0</v>
      </c>
      <c r="W15" s="10" t="str">
        <f>S15/E15</f>
        <v>0.75</v>
      </c>
    </row>
    <row r="16">
      <c r="A16" s="14">
        <v>46235</v>
      </c>
      <c r="B16" s="9">
        <v>23</v>
      </c>
      <c r="C16" s="9">
        <v>23</v>
      </c>
      <c r="D16" s="9">
        <v>1</v>
      </c>
      <c r="E16" s="9">
        <v>1</v>
      </c>
      <c r="F16" s="9">
        <v>19</v>
      </c>
      <c r="G16" s="9">
        <v>9</v>
      </c>
      <c r="H16" s="9">
        <v>5</v>
      </c>
      <c r="I16" s="9">
        <v>5</v>
      </c>
      <c r="J16" s="9">
        <v>6</v>
      </c>
      <c r="K16" s="10" t="str">
        <f>G16/F16</f>
        <v>0.47368421052631576</v>
      </c>
      <c r="L16" s="10" t="str">
        <f>I16/F16</f>
        <v>0.2631578947368421</v>
      </c>
      <c r="M16" s="10" t="str">
        <f>H16/F16</f>
        <v>0.2631578947368421</v>
      </c>
      <c r="N16" s="10" t="str">
        <f>J16/C16</f>
        <v>0.2608695652173913</v>
      </c>
      <c r="O16" s="9">
        <v>1</v>
      </c>
      <c r="P16" s="9">
        <v>1</v>
      </c>
      <c r="Q16" s="9">
        <v>0</v>
      </c>
      <c r="R16" s="9">
        <v>0</v>
      </c>
      <c r="S16" s="9">
        <v>0</v>
      </c>
      <c r="T16" s="10" t="str">
        <f>P16/O16</f>
        <v>1</v>
      </c>
      <c r="U16" s="10" t="str">
        <f>R16/O16</f>
        <v>0</v>
      </c>
      <c r="V16" s="10" t="str">
        <f>Q16/O16</f>
        <v>0</v>
      </c>
      <c r="W16" s="10" t="str">
        <f>S16/E16</f>
        <v>0</v>
      </c>
    </row>
    <row r="17">
      <c r="A17" s="14">
        <v>46266</v>
      </c>
      <c r="B17" s="9">
        <v>145</v>
      </c>
      <c r="C17" s="9">
        <v>145</v>
      </c>
      <c r="D17" s="9">
        <v>4</v>
      </c>
      <c r="E17" s="9">
        <v>4</v>
      </c>
      <c r="F17" s="9">
        <v>112</v>
      </c>
      <c r="G17" s="9">
        <v>46</v>
      </c>
      <c r="H17" s="9">
        <v>33</v>
      </c>
      <c r="I17" s="9">
        <v>33</v>
      </c>
      <c r="J17" s="9">
        <v>48</v>
      </c>
      <c r="K17" s="10" t="str">
        <f>G17/F17</f>
        <v>0.4107142857142857</v>
      </c>
      <c r="L17" s="10" t="str">
        <f>I17/F17</f>
        <v>0.29464285714285715</v>
      </c>
      <c r="M17" s="10" t="str">
        <f>H17/F17</f>
        <v>0.29464285714285715</v>
      </c>
      <c r="N17" s="10" t="str">
        <f>J17/C17</f>
        <v>0.3310344827586207</v>
      </c>
      <c r="O17" s="9">
        <v>4</v>
      </c>
      <c r="P17" s="9">
        <v>3</v>
      </c>
      <c r="Q17" s="9">
        <v>1</v>
      </c>
      <c r="R17" s="9">
        <v>0</v>
      </c>
      <c r="S17" s="9">
        <v>1</v>
      </c>
      <c r="T17" s="10" t="str">
        <f>P17/O17</f>
        <v>0.75</v>
      </c>
      <c r="U17" s="10" t="str">
        <f>R17/O17</f>
        <v>0</v>
      </c>
      <c r="V17" s="10" t="str">
        <f>Q17/O17</f>
        <v>0.25</v>
      </c>
      <c r="W17" s="10" t="str">
        <f>S17/E17</f>
        <v>0.25</v>
      </c>
      <c r="X17" s="5" t="s">
        <v>31</v>
      </c>
    </row>
    <row r="18">
      <c r="A18" s="14">
        <v>46296</v>
      </c>
      <c r="K18" s="7" t="s">
        <v>32</v>
      </c>
      <c r="L18" s="7" t="s">
        <v>32</v>
      </c>
      <c r="M18" s="7" t="s">
        <v>32</v>
      </c>
      <c r="N18" s="7" t="s">
        <v>32</v>
      </c>
      <c r="T18" s="7" t="s">
        <v>32</v>
      </c>
      <c r="U18" s="7" t="s">
        <v>32</v>
      </c>
      <c r="V18" s="7" t="s">
        <v>32</v>
      </c>
      <c r="W18" s="7" t="s">
        <v>32</v>
      </c>
      <c r="X18" s="5" t="s">
        <v>33</v>
      </c>
    </row>
    <row r="20">
      <c r="A20" s="3" t="s">
        <v>34</v>
      </c>
    </row>
  </sheetData>
</worksheet>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workbookViewId="0"/>
  </sheetViews>
  <cols>
    <col customWidth="true" max="1" min="1" width="24"/>
  </cols>
  <sheetData>
    <row r="1">
      <c r="A1" s="1" t="s">
        <v>37</v>
      </c>
    </row>
    <row r="3">
      <c r="A3" s="8" t="s">
        <v>38</v>
      </c>
    </row>
  </sheetData>
  <drawing r:id="rId1"/>
</worksheet>
</file>

<file path=xl/worksheets/sheet3.xml><?xml version="1.0" encoding="utf-8"?>
<worksheet xmlns="http://schemas.openxmlformats.org/spreadsheetml/2006/main">
  <dimension ref="A1"/>
  <sheetViews>
    <sheetView workbookViewId="0"/>
  </sheetViews>
  <cols>
    <col customWidth="true" max="1" min="1" width="26"/>
    <col customWidth="true" max="26" min="2" width="16"/>
  </cols>
  <sheetData>
    <row r="1">
      <c r="A1" s="1" t="s">
        <v>35</v>
      </c>
    </row>
    <row r="2">
      <c r="A2" s="3" t="s">
        <v>36</v>
      </c>
    </row>
    <row r="4">
      <c r="A4" s="8" t="s">
        <v>38</v>
      </c>
    </row>
    <row r="5">
      <c r="A5" s="4" t="s">
        <v>3</v>
      </c>
      <c r="B5" s="4" t="s">
        <v>39</v>
      </c>
      <c r="C5" s="4" t="s">
        <v>40</v>
      </c>
      <c r="D5" s="4" t="s">
        <v>19</v>
      </c>
    </row>
    <row r="6">
      <c r="A6" s="5" t="s">
        <v>41</v>
      </c>
      <c r="B6" s="9" t="str">
        <f>'통계표'!$B$6</f>
        <v>20</v>
      </c>
      <c r="C6" s="9" t="str">
        <f>'통계표'!$C$6</f>
        <v>20</v>
      </c>
      <c r="D6" s="9" t="str">
        <f>'통계표'!$D$6</f>
        <v>3</v>
      </c>
    </row>
    <row r="7">
      <c r="A7" s="5" t="s">
        <v>42</v>
      </c>
      <c r="B7" s="9" t="str">
        <f>'통계표'!$B$7</f>
        <v>27</v>
      </c>
      <c r="C7" s="9" t="str">
        <f>'통계표'!$C$7</f>
        <v>27</v>
      </c>
      <c r="D7" s="9" t="str">
        <f>'통계표'!$D$7</f>
        <v>1</v>
      </c>
    </row>
    <row r="8">
      <c r="A8" s="5" t="s">
        <v>43</v>
      </c>
      <c r="B8" s="9" t="str">
        <f>'통계표'!$B$8</f>
        <v>20</v>
      </c>
      <c r="C8" s="9" t="str">
        <f>'통계표'!$C$8</f>
        <v>20</v>
      </c>
      <c r="D8" s="9" t="str">
        <f>'통계표'!$D$8</f>
        <v>1</v>
      </c>
    </row>
    <row r="9">
      <c r="A9" s="5" t="s">
        <v>44</v>
      </c>
      <c r="B9" s="9" t="str">
        <f>'통계표'!$B$9</f>
        <v>22</v>
      </c>
      <c r="C9" s="9" t="str">
        <f>'통계표'!$C$9</f>
        <v>22</v>
      </c>
      <c r="D9" s="9" t="str">
        <f>'통계표'!$D$9</f>
        <v>2</v>
      </c>
    </row>
    <row r="10">
      <c r="A10" s="5" t="s">
        <v>45</v>
      </c>
      <c r="B10" s="9" t="str">
        <f>'통계표'!$B$10</f>
        <v>20</v>
      </c>
      <c r="C10" s="9" t="str">
        <f>'통계표'!$C$10</f>
        <v>20</v>
      </c>
      <c r="D10" s="9" t="str">
        <f>'통계표'!$D$10</f>
        <v>3</v>
      </c>
    </row>
    <row r="11">
      <c r="A11" s="5" t="s">
        <v>46</v>
      </c>
      <c r="B11" s="9" t="str">
        <f>'통계표'!$B$11</f>
        <v>25</v>
      </c>
      <c r="C11" s="9" t="str">
        <f>'통계표'!$C$11</f>
        <v>25</v>
      </c>
      <c r="D11" s="9" t="str">
        <f>'통계표'!$D$11</f>
        <v>2</v>
      </c>
    </row>
    <row r="12">
      <c r="A12" s="5" t="s">
        <v>47</v>
      </c>
      <c r="B12" s="9" t="str">
        <f>'통계표'!$B$12</f>
        <v>32</v>
      </c>
      <c r="C12" s="9" t="str">
        <f>'통계표'!$C$12</f>
        <v>32</v>
      </c>
      <c r="D12" s="9" t="str">
        <f>'통계표'!$D$12</f>
        <v>4</v>
      </c>
    </row>
    <row r="13">
      <c r="A13" s="5" t="s">
        <v>48</v>
      </c>
      <c r="B13" s="9" t="str">
        <f>'통계표'!$B$13</f>
        <v>22</v>
      </c>
      <c r="C13" s="9" t="str">
        <f>'통계표'!$C$13</f>
        <v>22</v>
      </c>
      <c r="D13" s="9" t="str">
        <f>'통계표'!$D$13</f>
        <v>3</v>
      </c>
    </row>
    <row r="14">
      <c r="A14" s="5" t="s">
        <v>49</v>
      </c>
      <c r="B14" s="9" t="str">
        <f>'통계표'!$B$14</f>
        <v>18</v>
      </c>
      <c r="C14" s="9" t="str">
        <f>'통계표'!$C$14</f>
        <v>18</v>
      </c>
      <c r="D14" s="9" t="str">
        <f>'통계표'!$D$14</f>
        <v>4</v>
      </c>
    </row>
    <row r="15">
      <c r="A15" s="5" t="s">
        <v>50</v>
      </c>
      <c r="B15" s="9" t="str">
        <f>'통계표'!$B$15</f>
        <v>34</v>
      </c>
      <c r="C15" s="9" t="str">
        <f>'통계표'!$C$15</f>
        <v>34</v>
      </c>
      <c r="D15" s="9" t="str">
        <f>'통계표'!$D$15</f>
        <v>4</v>
      </c>
    </row>
    <row r="16">
      <c r="A16" s="5" t="s">
        <v>51</v>
      </c>
      <c r="B16" s="9" t="str">
        <f>'통계표'!$B$16</f>
        <v>23</v>
      </c>
      <c r="C16" s="9" t="str">
        <f>'통계표'!$C$16</f>
        <v>23</v>
      </c>
      <c r="D16" s="9" t="str">
        <f>'통계표'!$D$16</f>
        <v>1</v>
      </c>
    </row>
    <row r="17">
      <c r="A17" s="5" t="s">
        <v>52</v>
      </c>
      <c r="B17" s="9" t="str">
        <f>'통계표'!$B$17</f>
        <v>145</v>
      </c>
      <c r="C17" s="9" t="str">
        <f>'통계표'!$C$17</f>
        <v>145</v>
      </c>
      <c r="D17" s="9" t="str">
        <f>'통계표'!$D$17</f>
        <v>4</v>
      </c>
    </row>
    <row r="18">
      <c r="A18" s="5" t="s">
        <v>53</v>
      </c>
    </row>
  </sheetData>
</worksheet>
</file>

<file path=xl/worksheets/sheet4.xml><?xml version="1.0" encoding="utf-8"?>
<worksheet xmlns="http://schemas.openxmlformats.org/spreadsheetml/2006/main">
  <dimension ref="A1"/>
  <sheetViews>
    <sheetView workbookViewId="0"/>
  </sheetViews>
  <cols>
    <col customWidth="true" max="1" min="1" width="22"/>
    <col customWidth="true" max="2" min="2" width="96"/>
  </cols>
  <sheetData>
    <row r="1">
      <c r="A1" s="1" t="s">
        <v>54</v>
      </c>
    </row>
    <row r="3">
      <c r="A3" s="8" t="s">
        <v>55</v>
      </c>
      <c r="B3" s="2" t="s">
        <v>56</v>
      </c>
    </row>
    <row r="4">
      <c r="A4" s="8" t="s">
        <v>57</v>
      </c>
      <c r="B4" s="2" t="s">
        <v>58</v>
      </c>
    </row>
    <row r="5">
      <c r="A5" s="8" t="s">
        <v>59</v>
      </c>
      <c r="B5" s="2" t="s">
        <v>60</v>
      </c>
    </row>
    <row r="6">
      <c r="A6" s="8" t="s">
        <v>61</v>
      </c>
      <c r="B6" s="2" t="s">
        <v>62</v>
      </c>
    </row>
    <row r="7">
      <c r="A7" s="8" t="s">
        <v>57</v>
      </c>
      <c r="B7" s="2" t="s">
        <v>58</v>
      </c>
    </row>
    <row r="8">
      <c r="A8" s="8" t="s">
        <v>63</v>
      </c>
      <c r="B8" s="2" t="s">
        <v>64</v>
      </c>
    </row>
    <row r="9">
      <c r="A9" s="8" t="s">
        <v>65</v>
      </c>
      <c r="B9" s="2" t="s">
        <v>66</v>
      </c>
    </row>
    <row r="10">
      <c r="A10" s="8" t="s">
        <v>19</v>
      </c>
      <c r="B10" s="2" t="s">
        <v>67</v>
      </c>
    </row>
    <row r="11">
      <c r="A11" s="8" t="s">
        <v>68</v>
      </c>
      <c r="B11" s="2" t="s">
        <v>69</v>
      </c>
    </row>
    <row r="12">
      <c r="A12" s="8" t="s">
        <v>70</v>
      </c>
      <c r="B12" s="2" t="s">
        <v>71</v>
      </c>
    </row>
    <row r="13">
      <c r="A13" s="8" t="s">
        <v>72</v>
      </c>
      <c r="B13" s="2" t="s">
        <v>73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title>월별 추이 · 건수</dc:title>
  <dc:creator>커뮤니티 신고 지도</dc:creator>
  <lastModifiedBy/>
  <dcterms:created xsi:type="dcterms:W3CDTF">2026-10-03T16:33:02.966Z</dcterms:created>
  <dcterms:modified xsi:type="dcterms:W3CDTF">2026-10-03T16:33:02.966Z</dcterms:modified>
</coreProperties>
</file>
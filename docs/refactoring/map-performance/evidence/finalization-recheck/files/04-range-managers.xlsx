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svg" ContentType="image/svg"/>
  <Default Extension="tiff" ContentType="image/tiff"/>
  <Default Extension="wmf" ContentType="image/x-wmf"/>
  <Default Extension="emz" ContentType="image/x-emz"/>
  <Default Extension="jpeg" ContentType="image/jpeg"/>
  <Default Extension="emf" ContentType="image/x-emf"/>
  <Default Extension="wmz" ContentType="image/x-wmz"/>
  <Default Extension="bmp" ContentType="image/bmp"/>
  <Default Extension="ico" ContentType="image/x-ico"/>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<sst xmlns="http://schemas.openxmlformats.org/spreadsheetml/2006/main" count="163" uniqueCount="163">
  <si>
    <t>이 범위의 담당자별 처리 현황</t>
  </si>
  <si>
    <t>2026-10-04 00:35:08 (한국 시간)에 내려받은 결과입니다. 조건은 ‘조회 조건’ 시트에 있습니다.</t>
  </si>
  <si>
    <t/>
  </si>
  <si>
    <t>담당자</t>
  </si>
  <si>
    <t>소속 기관</t>
  </si>
  <si>
    <t>건수</t>
  </si>
  <si>
    <t>건수 · 답변</t>
  </si>
  <si>
    <t>건수 · 분류된 답변</t>
  </si>
  <si>
    <t>건수 · 미분류</t>
  </si>
  <si>
    <t>건수 · 수용</t>
  </si>
  <si>
    <t>건수 · 일부 수용</t>
  </si>
  <si>
    <t>건수 · 불수용</t>
  </si>
  <si>
    <t>건수 · 과태료 처분</t>
  </si>
  <si>
    <t>건수 · 과태료 외 처분</t>
  </si>
  <si>
    <t>비율</t>
  </si>
  <si>
    <t>비율 · 수용률</t>
  </si>
  <si>
    <t>비율 · 일부수용률</t>
  </si>
  <si>
    <t>비율 · 불수용률</t>
  </si>
  <si>
    <t>비율 · 과태료 부과율</t>
  </si>
  <si>
    <t>비율 · 과태료 외 비율</t>
  </si>
  <si>
    <t>김하늘 (서울중부경찰서)</t>
  </si>
  <si>
    <t>예시 서울중부경찰서</t>
  </si>
  <si>
    <t>정하은</t>
  </si>
  <si>
    <t>예시 수원시청</t>
  </si>
  <si>
    <t>이서윤</t>
  </si>
  <si>
    <t>예시 강남구청</t>
  </si>
  <si>
    <t>박도윤</t>
  </si>
  <si>
    <t>강지호</t>
  </si>
  <si>
    <t>예시 인천남동경찰서</t>
  </si>
  <si>
    <t>최민준</t>
  </si>
  <si>
    <t>윤서아</t>
  </si>
  <si>
    <t>예시 대전서구청</t>
  </si>
  <si>
    <t>서지안</t>
  </si>
  <si>
    <t>예시 부산연제경찰서</t>
  </si>
  <si>
    <t>김하늘 (수원시청)</t>
  </si>
  <si>
    <t>임준서</t>
  </si>
  <si>
    <t>예시 대구수성경찰서</t>
  </si>
  <si>
    <t>신우진</t>
  </si>
  <si>
    <t>예시 해운대구청</t>
  </si>
  <si>
    <t>오예린</t>
  </si>
  <si>
    <t>예시 광주북구청</t>
  </si>
  <si>
    <t>양시우</t>
  </si>
  <si>
    <t>예시 제주시청</t>
  </si>
  <si>
    <t>한지우</t>
  </si>
  <si>
    <t>문채원</t>
  </si>
  <si>
    <t>합성담당001</t>
  </si>
  <si>
    <t>합성담당002</t>
  </si>
  <si>
    <t>합성담당003</t>
  </si>
  <si>
    <t>합성담당004</t>
  </si>
  <si>
    <t>계산 불가</t>
  </si>
  <si>
    <t>합성담당005</t>
  </si>
  <si>
    <t>합성담당006</t>
  </si>
  <si>
    <t>합성담당007</t>
  </si>
  <si>
    <t>합성담당008</t>
  </si>
  <si>
    <t>합성담당009</t>
  </si>
  <si>
    <t>합성담당010</t>
  </si>
  <si>
    <t>합성담당011</t>
  </si>
  <si>
    <t>합성담당012</t>
  </si>
  <si>
    <t>합성담당013</t>
  </si>
  <si>
    <t>합성담당014</t>
  </si>
  <si>
    <t>합성담당015</t>
  </si>
  <si>
    <t>합성담당016</t>
  </si>
  <si>
    <t>합성담당017</t>
  </si>
  <si>
    <t>합성담당018</t>
  </si>
  <si>
    <t>합성담당019</t>
  </si>
  <si>
    <t>합성담당020</t>
  </si>
  <si>
    <t>합성담당021</t>
  </si>
  <si>
    <t>합성담당022</t>
  </si>
  <si>
    <t>합성담당023</t>
  </si>
  <si>
    <t>합성담당024</t>
  </si>
  <si>
    <t>합성담당025</t>
  </si>
  <si>
    <t>합성담당026</t>
  </si>
  <si>
    <t>합성담당027</t>
  </si>
  <si>
    <t>합성담당028</t>
  </si>
  <si>
    <t>합성담당029</t>
  </si>
  <si>
    <t>합성담당030</t>
  </si>
  <si>
    <t>합성담당031</t>
  </si>
  <si>
    <t>합성담당032</t>
  </si>
  <si>
    <t>합성담당033</t>
  </si>
  <si>
    <t>합성담당034</t>
  </si>
  <si>
    <t>합성담당035</t>
  </si>
  <si>
    <t>합성담당036</t>
  </si>
  <si>
    <t>합성담당037</t>
  </si>
  <si>
    <t>합성담당038</t>
  </si>
  <si>
    <t>합성담당039</t>
  </si>
  <si>
    <t>합성담당040</t>
  </si>
  <si>
    <t>합성담당041</t>
  </si>
  <si>
    <t>합성담당042</t>
  </si>
  <si>
    <t>합성담당043</t>
  </si>
  <si>
    <t>합성담당044</t>
  </si>
  <si>
    <t>합성담당045</t>
  </si>
  <si>
    <t>합성담당046</t>
  </si>
  <si>
    <t>합성담당047</t>
  </si>
  <si>
    <t>합성담당048</t>
  </si>
  <si>
    <t>합성담당049</t>
  </si>
  <si>
    <t>합성담당050</t>
  </si>
  <si>
    <t>합성담당051</t>
  </si>
  <si>
    <t>합성담당052</t>
  </si>
  <si>
    <t>합성담당053</t>
  </si>
  <si>
    <t>합성담당054</t>
  </si>
  <si>
    <t>합성담당055</t>
  </si>
  <si>
    <t>합성담당056</t>
  </si>
  <si>
    <t>합성담당057</t>
  </si>
  <si>
    <t>합성담당058</t>
  </si>
  <si>
    <t>합성담당059</t>
  </si>
  <si>
    <t>합성담당060</t>
  </si>
  <si>
    <t>합성담당061</t>
  </si>
  <si>
    <t>합성담당062</t>
  </si>
  <si>
    <t>합성담당063</t>
  </si>
  <si>
    <t>합성담당064</t>
  </si>
  <si>
    <t>합성담당065</t>
  </si>
  <si>
    <t>합성담당066</t>
  </si>
  <si>
    <t>합성담당067</t>
  </si>
  <si>
    <t>합성담당068</t>
  </si>
  <si>
    <t>합성담당069</t>
  </si>
  <si>
    <t>합성담당070</t>
  </si>
  <si>
    <t>합성담당071</t>
  </si>
  <si>
    <t>합성담당072</t>
  </si>
  <si>
    <t>합성담당073</t>
  </si>
  <si>
    <t>합성담당074</t>
  </si>
  <si>
    <t>합성담당075</t>
  </si>
  <si>
    <t>합성담당076</t>
  </si>
  <si>
    <t>합성담당077</t>
  </si>
  <si>
    <t>합성담당078</t>
  </si>
  <si>
    <t>합성담당079</t>
  </si>
  <si>
    <t>합성담당080</t>
  </si>
  <si>
    <t>합성담당081</t>
  </si>
  <si>
    <t>합성담당082</t>
  </si>
  <si>
    <t>합성담당083</t>
  </si>
  <si>
    <t>합성담당084</t>
  </si>
  <si>
    <t>합성담당085</t>
  </si>
  <si>
    <t>비율은 같은 줄의 ‘해당 건수 ÷ 기준 건수’ 수식입니다.</t>
  </si>
  <si>
    <t>같은 이름의 담당자는 담당자 칸에 소속 기관을 짧게 붙였습니다.</t>
  </si>
  <si>
    <t>전체 담당자 125명 중 화면에 불러온 100명만 담았습니다.</t>
  </si>
  <si>
    <t>차트 데이터</t>
  </si>
  <si>
    <t>차트가 그리는 숫자입니다. ‘통계표’ 시트에서 가져옵니다.</t>
  </si>
  <si>
    <t>이 범위의 담당자별 처리 현황 · 차트</t>
  </si>
  <si>
    <t>담당자별 수용률 (1–40 / 100)</t>
  </si>
  <si>
    <t>수용</t>
  </si>
  <si>
    <t>일부수용</t>
  </si>
  <si>
    <t>불수용</t>
  </si>
  <si>
    <t>답변 완료(건, 오른쪽 축)</t>
  </si>
  <si>
    <t>선은 답변 완료 건수(오른쪽 축)입니다. 담당자가 많아 40명씩 나눠 그렸습니다.</t>
  </si>
  <si>
    <t>담당자별 수용률 (41–80 / 100)</t>
  </si>
  <si>
    <t>담당자별 수용률 (81–100 / 100)</t>
  </si>
  <si>
    <t>이 범위의 담당자별 처리 현황 · 조회 조건</t>
  </si>
  <si>
    <t>내려받은 시각</t>
  </si>
  <si>
    <t>2026-10-04 00:35:08 (한국 시간)</t>
  </si>
  <si>
    <t>자료 버전</t>
  </si>
  <si>
    <t>e2e-synthetic-1</t>
  </si>
  <si>
    <t>날짜 기준</t>
  </si>
  <si>
    <t>답변일</t>
  </si>
  <si>
    <t>기간</t>
  </si>
  <si>
    <t>2025-10-05 — 2026-10-04 · 일부 기간: 첫 달은 2025.10.05부터, 마지막 달은 2026.10.04까지</t>
  </si>
  <si>
    <t>대상 범위</t>
  </si>
  <si>
    <t>전국 · 모든 분류</t>
  </si>
  <si>
    <t>불러온 100명 (전체 125명)</t>
  </si>
  <si>
    <t>막대 기준</t>
  </si>
  <si>
    <t>수용률 ((수용+일부수용+불수용)를 100%로)</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</si>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</sst>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(1–40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데이터'!$B$6:$B$45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데이터'!$C$6:$C$45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데이터'!$D$6:$D$45</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데이터'!$A$6:$A$45</f>
            </strRef>
          </cat>
          <val>
            <numRef>
              <f>'차트 데이터'!$E$6:$E$45</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(41–80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데이터'!$B$48</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데이터'!$B$49:$B$88</f>
              <numCache>
                <formatCode/>
              </numCache>
            </numRef>
          </val>
          <smooth val="0"/>
        </ser>
        <ser>
          <idx val="1"/>
          <order val="1"/>
          <tx>
            <strRef>
              <f>'차트 데이터'!$C$48</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데이터'!$C$49:$C$88</f>
              <numCache>
                <formatCode/>
              </numCache>
            </numRef>
          </val>
          <smooth val="0"/>
        </ser>
        <ser>
          <idx val="2"/>
          <order val="2"/>
          <tx>
            <strRef>
              <f>'차트 데이터'!$D$48</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데이터'!$D$49:$D$88</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데이터'!$E$48</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데이터'!$A$49:$A$88</f>
            </strRef>
          </cat>
          <val>
            <numRef>
              <f>'차트 데이터'!$E$49:$E$88</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charts/chart3.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(81–100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데이터'!$B$91</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데이터'!$B$92:$B$111</f>
              <numCache>
                <formatCode/>
              </numCache>
            </numRef>
          </val>
          <smooth val="0"/>
        </ser>
        <ser>
          <idx val="1"/>
          <order val="1"/>
          <tx>
            <strRef>
              <f>'차트 데이터'!$C$91</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데이터'!$C$92:$C$111</f>
              <numCache>
                <formatCode/>
              </numCache>
            </numRef>
          </val>
          <smooth val="0"/>
        </ser>
        <ser>
          <idx val="2"/>
          <order val="2"/>
          <tx>
            <strRef>
              <f>'차트 데이터'!$D$91</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데이터'!$D$92:$D$111</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데이터'!$E$91</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데이터'!$A$92:$A$111</f>
            </strRef>
          </cat>
          <val>
            <numRef>
              <f>'차트 데이터'!$E$92:$E$111</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charts/chart2.xml" Type="http://schemas.openxmlformats.org/officeDocument/2006/relationships/chart"></Relationship><Relationship Id="rId3" Target="../charts/chart3.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1</xdr:col>
      <xdr:colOff>0</xdr:colOff>
      <xdr:row>26</xdr:row>
      <xdr:rowOff>0</xdr:rowOff>
    </xdr:from>
    <xdr:to>
      <xdr:col>13</xdr:col>
      <xdr:colOff>495300</xdr:colOff>
      <xdr:row>44</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true" fPrintsWithSheet="true"/>
  </xdr:twoCellAnchor>
  <xdr:twoCellAnchor>
    <xdr:from>
      <xdr:col>1</xdr:col>
      <xdr:colOff>0</xdr:colOff>
      <xdr:row>48</xdr:row>
      <xdr:rowOff>0</xdr:rowOff>
    </xdr:from>
    <xdr:to>
      <xdr:col>13</xdr:col>
      <xdr:colOff>495300</xdr:colOff>
      <xdr:row>66</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C6" xSplit="2" ySplit="5"/>
    </sheetView>
  </sheetViews>
  <sheetFormatPr defaultRowHeight="15"/>
  <cols>
    <col customWidth="true" max="1" min="1" width="26"/>
    <col customWidth="true" max="2" min="2" width="22"/>
    <col customWidth="true" max="15" min="3" width="14"/>
  </cols>
  <sheetData>
    <row r="1">
      <c r="A1" s="1" t="s">
        <v>0</v>
      </c>
    </row>
    <row r="2">
      <c r="A2" s="3" t="s">
        <v>1</v>
      </c>
    </row>
    <row r="4">
      <c r="A4" s="4" t="s">
        <v>2</v>
      </c>
      <c r="B4" s="4" t="s">
        <v>2</v>
      </c>
      <c r="C4" s="4" t="s">
        <v>5</v>
      </c>
      <c r="D4" s="4" t="s">
        <v>5</v>
      </c>
      <c r="E4" s="4" t="s">
        <v>5</v>
      </c>
      <c r="F4" s="4" t="s">
        <v>5</v>
      </c>
      <c r="G4" s="4" t="s">
        <v>5</v>
      </c>
      <c r="H4" s="4" t="s">
        <v>5</v>
      </c>
      <c r="I4" s="4" t="s">
        <v>5</v>
      </c>
      <c r="J4" s="4" t="s">
        <v>5</v>
      </c>
      <c r="K4" s="4" t="s">
        <v>14</v>
      </c>
      <c r="L4" s="4" t="s">
        <v>14</v>
      </c>
      <c r="M4" s="4" t="s">
        <v>14</v>
      </c>
      <c r="N4" s="4" t="s">
        <v>14</v>
      </c>
      <c r="O4" s="4" t="s">
        <v>14</v>
      </c>
    </row>
    <row r="5">
      <c r="A5" s="4" t="s">
        <v>3</v>
      </c>
      <c r="B5" s="4" t="s">
        <v>4</v>
      </c>
      <c r="C5" s="4" t="s">
        <v>6</v>
      </c>
      <c r="D5" s="4" t="s">
        <v>7</v>
      </c>
      <c r="E5" s="4" t="s">
        <v>8</v>
      </c>
      <c r="F5" s="4" t="s">
        <v>9</v>
      </c>
      <c r="G5" s="4" t="s">
        <v>10</v>
      </c>
      <c r="H5" s="4" t="s">
        <v>11</v>
      </c>
      <c r="I5" s="4" t="s">
        <v>12</v>
      </c>
      <c r="J5" s="4" t="s">
        <v>13</v>
      </c>
      <c r="K5" s="4" t="s">
        <v>15</v>
      </c>
      <c r="L5" s="4" t="s">
        <v>16</v>
      </c>
      <c r="M5" s="4" t="s">
        <v>17</v>
      </c>
      <c r="N5" s="4" t="s">
        <v>18</v>
      </c>
      <c r="O5" s="4" t="s">
        <v>19</v>
      </c>
    </row>
    <row r="6">
      <c r="A6" s="5" t="s">
        <v>20</v>
      </c>
      <c r="B6" s="5" t="s">
        <v>21</v>
      </c>
      <c r="C6" s="9">
        <v>37</v>
      </c>
      <c r="D6" s="9">
        <v>29</v>
      </c>
      <c r="E6" s="9">
        <v>8</v>
      </c>
      <c r="F6" s="9">
        <v>19</v>
      </c>
      <c r="G6" s="9">
        <v>6</v>
      </c>
      <c r="H6" s="9">
        <v>4</v>
      </c>
      <c r="I6" s="9">
        <v>12</v>
      </c>
      <c r="J6" s="9">
        <v>25</v>
      </c>
      <c r="K6" s="10" t="str">
        <f>F6/D6</f>
        <v>0.6551724137931034</v>
      </c>
      <c r="L6" s="10" t="str">
        <f>G6/D6</f>
        <v>0.20689655172413793</v>
      </c>
      <c r="M6" s="10" t="str">
        <f>H6/D6</f>
        <v>0.13793103448275862</v>
      </c>
      <c r="N6" s="10" t="str">
        <f>I6/C6</f>
        <v>0.32432432432432434</v>
      </c>
      <c r="O6" s="10" t="str">
        <f>J6/C6</f>
        <v>0.6756756756756757</v>
      </c>
    </row>
    <row r="7">
      <c r="A7" s="5" t="s">
        <v>22</v>
      </c>
      <c r="B7" s="5" t="s">
        <v>23</v>
      </c>
      <c r="C7" s="9">
        <v>35</v>
      </c>
      <c r="D7" s="9">
        <v>30</v>
      </c>
      <c r="E7" s="9">
        <v>5</v>
      </c>
      <c r="F7" s="9">
        <v>20</v>
      </c>
      <c r="G7" s="9">
        <v>3</v>
      </c>
      <c r="H7" s="9">
        <v>7</v>
      </c>
      <c r="I7" s="9">
        <v>9</v>
      </c>
      <c r="J7" s="9">
        <v>26</v>
      </c>
      <c r="K7" s="10" t="str">
        <f>F7/D7</f>
        <v>0.6666666666666666</v>
      </c>
      <c r="L7" s="10" t="str">
        <f>G7/D7</f>
        <v>0.1</v>
      </c>
      <c r="M7" s="10" t="str">
        <f>H7/D7</f>
        <v>0.23333333333333334</v>
      </c>
      <c r="N7" s="10" t="str">
        <f>I7/C7</f>
        <v>0.2571428571428571</v>
      </c>
      <c r="O7" s="10" t="str">
        <f>J7/C7</f>
        <v>0.7428571428571429</v>
      </c>
    </row>
    <row r="8">
      <c r="A8" s="5" t="s">
        <v>24</v>
      </c>
      <c r="B8" s="5" t="s">
        <v>25</v>
      </c>
      <c r="C8" s="9">
        <v>34</v>
      </c>
      <c r="D8" s="9">
        <v>30</v>
      </c>
      <c r="E8" s="9">
        <v>4</v>
      </c>
      <c r="F8" s="9">
        <v>22</v>
      </c>
      <c r="G8" s="9">
        <v>1</v>
      </c>
      <c r="H8" s="9">
        <v>7</v>
      </c>
      <c r="I8" s="9">
        <v>9</v>
      </c>
      <c r="J8" s="9">
        <v>25</v>
      </c>
      <c r="K8" s="10" t="str">
        <f>F8/D8</f>
        <v>0.7333333333333333</v>
      </c>
      <c r="L8" s="10" t="str">
        <f>G8/D8</f>
        <v>0.03333333333333333</v>
      </c>
      <c r="M8" s="10" t="str">
        <f>H8/D8</f>
        <v>0.23333333333333334</v>
      </c>
      <c r="N8" s="10" t="str">
        <f>I8/C8</f>
        <v>0.2647058823529412</v>
      </c>
      <c r="O8" s="10" t="str">
        <f>J8/C8</f>
        <v>0.7352941176470589</v>
      </c>
    </row>
    <row r="9">
      <c r="A9" s="5" t="s">
        <v>26</v>
      </c>
      <c r="B9" s="5" t="s">
        <v>21</v>
      </c>
      <c r="C9" s="9">
        <v>27</v>
      </c>
      <c r="D9" s="9">
        <v>24</v>
      </c>
      <c r="E9" s="9">
        <v>3</v>
      </c>
      <c r="F9" s="9">
        <v>12</v>
      </c>
      <c r="G9" s="9">
        <v>5</v>
      </c>
      <c r="H9" s="9">
        <v>7</v>
      </c>
      <c r="I9" s="9">
        <v>6</v>
      </c>
      <c r="J9" s="9">
        <v>21</v>
      </c>
      <c r="K9" s="10" t="str">
        <f>F9/D9</f>
        <v>0.5</v>
      </c>
      <c r="L9" s="10" t="str">
        <f>G9/D9</f>
        <v>0.20833333333333334</v>
      </c>
      <c r="M9" s="10" t="str">
        <f>H9/D9</f>
        <v>0.2916666666666667</v>
      </c>
      <c r="N9" s="10" t="str">
        <f>I9/C9</f>
        <v>0.2222222222222222</v>
      </c>
      <c r="O9" s="10" t="str">
        <f>J9/C9</f>
        <v>0.7777777777777778</v>
      </c>
    </row>
    <row r="10">
      <c r="A10" s="5" t="s">
        <v>27</v>
      </c>
      <c r="B10" s="5" t="s">
        <v>28</v>
      </c>
      <c r="C10" s="9">
        <v>27</v>
      </c>
      <c r="D10" s="9">
        <v>25</v>
      </c>
      <c r="E10" s="9">
        <v>2</v>
      </c>
      <c r="F10" s="9">
        <v>7</v>
      </c>
      <c r="G10" s="9">
        <v>6</v>
      </c>
      <c r="H10" s="9">
        <v>12</v>
      </c>
      <c r="I10" s="9">
        <v>7</v>
      </c>
      <c r="J10" s="9">
        <v>20</v>
      </c>
      <c r="K10" s="10" t="str">
        <f>F10/D10</f>
        <v>0.28</v>
      </c>
      <c r="L10" s="10" t="str">
        <f>G10/D10</f>
        <v>0.24</v>
      </c>
      <c r="M10" s="10" t="str">
        <f>H10/D10</f>
        <v>0.48</v>
      </c>
      <c r="N10" s="10" t="str">
        <f>I10/C10</f>
        <v>0.25925925925925924</v>
      </c>
      <c r="O10" s="10" t="str">
        <f>J10/C10</f>
        <v>0.7407407407407407</v>
      </c>
    </row>
    <row r="11">
      <c r="A11" s="5" t="s">
        <v>29</v>
      </c>
      <c r="B11" s="5" t="s">
        <v>25</v>
      </c>
      <c r="C11" s="9">
        <v>19</v>
      </c>
      <c r="D11" s="9">
        <v>17</v>
      </c>
      <c r="E11" s="9">
        <v>2</v>
      </c>
      <c r="F11" s="9">
        <v>11</v>
      </c>
      <c r="G11" s="9">
        <v>2</v>
      </c>
      <c r="H11" s="9">
        <v>4</v>
      </c>
      <c r="I11" s="9">
        <v>5</v>
      </c>
      <c r="J11" s="9">
        <v>14</v>
      </c>
      <c r="K11" s="10" t="str">
        <f>F11/D11</f>
        <v>0.6470588235294118</v>
      </c>
      <c r="L11" s="10" t="str">
        <f>G11/D11</f>
        <v>0.11764705882352941</v>
      </c>
      <c r="M11" s="10" t="str">
        <f>H11/D11</f>
        <v>0.23529411764705882</v>
      </c>
      <c r="N11" s="10" t="str">
        <f>I11/C11</f>
        <v>0.2631578947368421</v>
      </c>
      <c r="O11" s="10" t="str">
        <f>J11/C11</f>
        <v>0.7368421052631579</v>
      </c>
    </row>
    <row r="12">
      <c r="A12" s="5" t="s">
        <v>30</v>
      </c>
      <c r="B12" s="5" t="s">
        <v>31</v>
      </c>
      <c r="C12" s="9">
        <v>17</v>
      </c>
      <c r="D12" s="9">
        <v>16</v>
      </c>
      <c r="E12" s="9">
        <v>1</v>
      </c>
      <c r="F12" s="9">
        <v>9</v>
      </c>
      <c r="G12" s="9">
        <v>2</v>
      </c>
      <c r="H12" s="9">
        <v>5</v>
      </c>
      <c r="I12" s="9">
        <v>5</v>
      </c>
      <c r="J12" s="9">
        <v>12</v>
      </c>
      <c r="K12" s="10" t="str">
        <f>F12/D12</f>
        <v>0.5625</v>
      </c>
      <c r="L12" s="10" t="str">
        <f>G12/D12</f>
        <v>0.125</v>
      </c>
      <c r="M12" s="10" t="str">
        <f>H12/D12</f>
        <v>0.3125</v>
      </c>
      <c r="N12" s="10" t="str">
        <f>I12/C12</f>
        <v>0.29411764705882354</v>
      </c>
      <c r="O12" s="10" t="str">
        <f>J12/C12</f>
        <v>0.7058823529411765</v>
      </c>
    </row>
    <row r="13">
      <c r="A13" s="5" t="s">
        <v>32</v>
      </c>
      <c r="B13" s="5" t="s">
        <v>33</v>
      </c>
      <c r="C13" s="9">
        <v>17</v>
      </c>
      <c r="D13" s="9">
        <v>14</v>
      </c>
      <c r="E13" s="9">
        <v>3</v>
      </c>
      <c r="F13" s="9">
        <v>8</v>
      </c>
      <c r="G13" s="9">
        <v>1</v>
      </c>
      <c r="H13" s="9">
        <v>5</v>
      </c>
      <c r="I13" s="9">
        <v>2</v>
      </c>
      <c r="J13" s="9">
        <v>15</v>
      </c>
      <c r="K13" s="10" t="str">
        <f>F13/D13</f>
        <v>0.5714285714285714</v>
      </c>
      <c r="L13" s="10" t="str">
        <f>G13/D13</f>
        <v>0.07142857142857142</v>
      </c>
      <c r="M13" s="10" t="str">
        <f>H13/D13</f>
        <v>0.35714285714285715</v>
      </c>
      <c r="N13" s="10" t="str">
        <f>I13/C13</f>
        <v>0.11764705882352941</v>
      </c>
      <c r="O13" s="10" t="str">
        <f>J13/C13</f>
        <v>0.8823529411764706</v>
      </c>
    </row>
    <row r="14">
      <c r="A14" s="5" t="s">
        <v>34</v>
      </c>
      <c r="B14" s="5" t="s">
        <v>23</v>
      </c>
      <c r="C14" s="9">
        <v>16</v>
      </c>
      <c r="D14" s="9">
        <v>14</v>
      </c>
      <c r="E14" s="9">
        <v>2</v>
      </c>
      <c r="F14" s="9">
        <v>8</v>
      </c>
      <c r="G14" s="9">
        <v>2</v>
      </c>
      <c r="H14" s="9">
        <v>4</v>
      </c>
      <c r="I14" s="9">
        <v>4</v>
      </c>
      <c r="J14" s="9">
        <v>12</v>
      </c>
      <c r="K14" s="10" t="str">
        <f>F14/D14</f>
        <v>0.5714285714285714</v>
      </c>
      <c r="L14" s="10" t="str">
        <f>G14/D14</f>
        <v>0.14285714285714285</v>
      </c>
      <c r="M14" s="10" t="str">
        <f>H14/D14</f>
        <v>0.2857142857142857</v>
      </c>
      <c r="N14" s="10" t="str">
        <f>I14/C14</f>
        <v>0.25</v>
      </c>
      <c r="O14" s="10" t="str">
        <f>J14/C14</f>
        <v>0.75</v>
      </c>
    </row>
    <row r="15">
      <c r="A15" s="5" t="s">
        <v>35</v>
      </c>
      <c r="B15" s="5" t="s">
        <v>36</v>
      </c>
      <c r="C15" s="9">
        <v>15</v>
      </c>
      <c r="D15" s="9">
        <v>13</v>
      </c>
      <c r="E15" s="9">
        <v>2</v>
      </c>
      <c r="F15" s="9">
        <v>7</v>
      </c>
      <c r="G15" s="9">
        <v>3</v>
      </c>
      <c r="H15" s="9">
        <v>3</v>
      </c>
      <c r="I15" s="9">
        <v>4</v>
      </c>
      <c r="J15" s="9">
        <v>11</v>
      </c>
      <c r="K15" s="10" t="str">
        <f>F15/D15</f>
        <v>0.5384615384615384</v>
      </c>
      <c r="L15" s="10" t="str">
        <f>G15/D15</f>
        <v>0.23076923076923078</v>
      </c>
      <c r="M15" s="10" t="str">
        <f>H15/D15</f>
        <v>0.23076923076923078</v>
      </c>
      <c r="N15" s="10" t="str">
        <f>I15/C15</f>
        <v>0.26666666666666666</v>
      </c>
      <c r="O15" s="10" t="str">
        <f>J15/C15</f>
        <v>0.7333333333333333</v>
      </c>
    </row>
    <row r="16">
      <c r="A16" s="5" t="s">
        <v>37</v>
      </c>
      <c r="B16" s="5" t="s">
        <v>38</v>
      </c>
      <c r="C16" s="9">
        <v>15</v>
      </c>
      <c r="D16" s="9">
        <v>14</v>
      </c>
      <c r="E16" s="9">
        <v>1</v>
      </c>
      <c r="F16" s="9">
        <v>8</v>
      </c>
      <c r="G16" s="9">
        <v>2</v>
      </c>
      <c r="H16" s="9">
        <v>4</v>
      </c>
      <c r="I16" s="9">
        <v>5</v>
      </c>
      <c r="J16" s="9">
        <v>10</v>
      </c>
      <c r="K16" s="10" t="str">
        <f>F16/D16</f>
        <v>0.5714285714285714</v>
      </c>
      <c r="L16" s="10" t="str">
        <f>G16/D16</f>
        <v>0.14285714285714285</v>
      </c>
      <c r="M16" s="10" t="str">
        <f>H16/D16</f>
        <v>0.2857142857142857</v>
      </c>
      <c r="N16" s="10" t="str">
        <f>I16/C16</f>
        <v>0.3333333333333333</v>
      </c>
      <c r="O16" s="10" t="str">
        <f>J16/C16</f>
        <v>0.6666666666666666</v>
      </c>
    </row>
    <row r="17">
      <c r="A17" s="5" t="s">
        <v>39</v>
      </c>
      <c r="B17" s="5" t="s">
        <v>40</v>
      </c>
      <c r="C17" s="9">
        <v>14</v>
      </c>
      <c r="D17" s="9">
        <v>10</v>
      </c>
      <c r="E17" s="9">
        <v>4</v>
      </c>
      <c r="F17" s="9">
        <v>6</v>
      </c>
      <c r="G17" s="9">
        <v>2</v>
      </c>
      <c r="H17" s="9">
        <v>2</v>
      </c>
      <c r="I17" s="9">
        <v>4</v>
      </c>
      <c r="J17" s="9">
        <v>10</v>
      </c>
      <c r="K17" s="10" t="str">
        <f>F17/D17</f>
        <v>0.6</v>
      </c>
      <c r="L17" s="10" t="str">
        <f>G17/D17</f>
        <v>0.2</v>
      </c>
      <c r="M17" s="10" t="str">
        <f>H17/D17</f>
        <v>0.2</v>
      </c>
      <c r="N17" s="10" t="str">
        <f>I17/C17</f>
        <v>0.2857142857142857</v>
      </c>
      <c r="O17" s="10" t="str">
        <f>J17/C17</f>
        <v>0.7142857142857143</v>
      </c>
    </row>
    <row r="18">
      <c r="A18" s="5" t="s">
        <v>41</v>
      </c>
      <c r="B18" s="5" t="s">
        <v>42</v>
      </c>
      <c r="C18" s="9">
        <v>14</v>
      </c>
      <c r="D18" s="9">
        <v>11</v>
      </c>
      <c r="E18" s="9">
        <v>3</v>
      </c>
      <c r="F18" s="9">
        <v>9</v>
      </c>
      <c r="G18" s="9">
        <v>1</v>
      </c>
      <c r="H18" s="9">
        <v>1</v>
      </c>
      <c r="I18" s="9">
        <v>4</v>
      </c>
      <c r="J18" s="9">
        <v>10</v>
      </c>
      <c r="K18" s="10" t="str">
        <f>F18/D18</f>
        <v>0.8181818181818182</v>
      </c>
      <c r="L18" s="10" t="str">
        <f>G18/D18</f>
        <v>0.09090909090909091</v>
      </c>
      <c r="M18" s="10" t="str">
        <f>H18/D18</f>
        <v>0.09090909090909091</v>
      </c>
      <c r="N18" s="10" t="str">
        <f>I18/C18</f>
        <v>0.2857142857142857</v>
      </c>
      <c r="O18" s="10" t="str">
        <f>J18/C18</f>
        <v>0.7142857142857143</v>
      </c>
    </row>
    <row r="19">
      <c r="A19" s="5" t="s">
        <v>43</v>
      </c>
      <c r="B19" s="5" t="s">
        <v>36</v>
      </c>
      <c r="C19" s="9">
        <v>6</v>
      </c>
      <c r="D19" s="9">
        <v>6</v>
      </c>
      <c r="E19" s="9">
        <v>0</v>
      </c>
      <c r="F19" s="9">
        <v>5</v>
      </c>
      <c r="G19" s="9">
        <v>0</v>
      </c>
      <c r="H19" s="9">
        <v>1</v>
      </c>
      <c r="I19" s="9">
        <v>5</v>
      </c>
      <c r="J19" s="9">
        <v>1</v>
      </c>
      <c r="K19" s="10" t="str">
        <f>F19/D19</f>
        <v>0.8333333333333334</v>
      </c>
      <c r="L19" s="10" t="str">
        <f>G19/D19</f>
        <v>0</v>
      </c>
      <c r="M19" s="10" t="str">
        <f>H19/D19</f>
        <v>0.16666666666666666</v>
      </c>
      <c r="N19" s="10" t="str">
        <f>I19/C19</f>
        <v>0.8333333333333334</v>
      </c>
      <c r="O19" s="10" t="str">
        <f>J19/C19</f>
        <v>0.16666666666666666</v>
      </c>
    </row>
    <row r="20">
      <c r="A20" s="5" t="s">
        <v>44</v>
      </c>
      <c r="B20" s="5" t="s">
        <v>38</v>
      </c>
      <c r="C20" s="9">
        <v>5</v>
      </c>
      <c r="D20" s="9">
        <v>5</v>
      </c>
      <c r="E20" s="9">
        <v>0</v>
      </c>
      <c r="F20" s="9">
        <v>4</v>
      </c>
      <c r="G20" s="9">
        <v>1</v>
      </c>
      <c r="H20" s="9">
        <v>0</v>
      </c>
      <c r="I20" s="9">
        <v>2</v>
      </c>
      <c r="J20" s="9">
        <v>3</v>
      </c>
      <c r="K20" s="10" t="str">
        <f>F20/D20</f>
        <v>0.8</v>
      </c>
      <c r="L20" s="10" t="str">
        <f>G20/D20</f>
        <v>0.2</v>
      </c>
      <c r="M20" s="10" t="str">
        <f>H20/D20</f>
        <v>0</v>
      </c>
      <c r="N20" s="10" t="str">
        <f>I20/C20</f>
        <v>0.4</v>
      </c>
      <c r="O20" s="10" t="str">
        <f>J20/C20</f>
        <v>0.6</v>
      </c>
    </row>
    <row r="21">
      <c r="A21" s="5" t="s">
        <v>45</v>
      </c>
      <c r="B21" s="5" t="s">
        <v>36</v>
      </c>
      <c r="C21" s="9">
        <v>1</v>
      </c>
      <c r="D21" s="9">
        <v>1</v>
      </c>
      <c r="E21" s="9">
        <v>0</v>
      </c>
      <c r="F21" s="9">
        <v>1</v>
      </c>
      <c r="G21" s="9">
        <v>0</v>
      </c>
      <c r="H21" s="9">
        <v>0</v>
      </c>
      <c r="I21" s="9">
        <v>1</v>
      </c>
      <c r="J21" s="9">
        <v>0</v>
      </c>
      <c r="K21" s="10" t="str">
        <f>F21/D21</f>
        <v>1</v>
      </c>
      <c r="L21" s="10" t="str">
        <f>G21/D21</f>
        <v>0</v>
      </c>
      <c r="M21" s="10" t="str">
        <f>H21/D21</f>
        <v>0</v>
      </c>
      <c r="N21" s="10" t="str">
        <f>I21/C21</f>
        <v>1</v>
      </c>
      <c r="O21" s="10" t="str">
        <f>J21/C21</f>
        <v>0</v>
      </c>
    </row>
    <row r="22">
      <c r="A22" s="5" t="s">
        <v>46</v>
      </c>
      <c r="B22" s="5" t="s">
        <v>36</v>
      </c>
      <c r="C22" s="9">
        <v>1</v>
      </c>
      <c r="D22" s="9">
        <v>1</v>
      </c>
      <c r="E22" s="9">
        <v>0</v>
      </c>
      <c r="F22" s="9">
        <v>0</v>
      </c>
      <c r="G22" s="9">
        <v>1</v>
      </c>
      <c r="H22" s="9">
        <v>0</v>
      </c>
      <c r="I22" s="9">
        <v>0</v>
      </c>
      <c r="J22" s="9">
        <v>1</v>
      </c>
      <c r="K22" s="10" t="str">
        <f>F22/D22</f>
        <v>0</v>
      </c>
      <c r="L22" s="10" t="str">
        <f>G22/D22</f>
        <v>1</v>
      </c>
      <c r="M22" s="10" t="str">
        <f>H22/D22</f>
        <v>0</v>
      </c>
      <c r="N22" s="10" t="str">
        <f>I22/C22</f>
        <v>0</v>
      </c>
      <c r="O22" s="10" t="str">
        <f>J22/C22</f>
        <v>1</v>
      </c>
    </row>
    <row r="23">
      <c r="A23" s="5" t="s">
        <v>47</v>
      </c>
      <c r="B23" s="5" t="s">
        <v>36</v>
      </c>
      <c r="C23" s="9">
        <v>1</v>
      </c>
      <c r="D23" s="9">
        <v>1</v>
      </c>
      <c r="E23" s="9">
        <v>0</v>
      </c>
      <c r="F23" s="9">
        <v>0</v>
      </c>
      <c r="G23" s="9">
        <v>0</v>
      </c>
      <c r="H23" s="9">
        <v>1</v>
      </c>
      <c r="I23" s="9">
        <v>0</v>
      </c>
      <c r="J23" s="9">
        <v>1</v>
      </c>
      <c r="K23" s="10" t="str">
        <f>F23/D23</f>
        <v>0</v>
      </c>
      <c r="L23" s="10" t="str">
        <f>G23/D23</f>
        <v>0</v>
      </c>
      <c r="M23" s="10" t="str">
        <f>H23/D23</f>
        <v>1</v>
      </c>
      <c r="N23" s="10" t="str">
        <f>I23/C23</f>
        <v>0</v>
      </c>
      <c r="O23" s="10" t="str">
        <f>J23/C23</f>
        <v>1</v>
      </c>
    </row>
    <row r="24">
      <c r="A24" s="5" t="s">
        <v>48</v>
      </c>
      <c r="B24" s="5" t="s">
        <v>36</v>
      </c>
      <c r="C24" s="9">
        <v>1</v>
      </c>
      <c r="D24" s="9">
        <v>0</v>
      </c>
      <c r="E24" s="9">
        <v>1</v>
      </c>
      <c r="F24" s="9">
        <v>0</v>
      </c>
      <c r="G24" s="9">
        <v>0</v>
      </c>
      <c r="H24" s="9">
        <v>0</v>
      </c>
      <c r="I24" s="9">
        <v>1</v>
      </c>
      <c r="J24" s="9">
        <v>0</v>
      </c>
      <c r="K24" s="7" t="s">
        <v>49</v>
      </c>
      <c r="L24" s="7" t="s">
        <v>49</v>
      </c>
      <c r="M24" s="7" t="s">
        <v>49</v>
      </c>
      <c r="N24" s="10" t="str">
        <f>I24/C24</f>
        <v>1</v>
      </c>
      <c r="O24" s="10" t="str">
        <f>J24/C24</f>
        <v>0</v>
      </c>
    </row>
    <row r="25">
      <c r="A25" s="5" t="s">
        <v>50</v>
      </c>
      <c r="B25" s="5" t="s">
        <v>36</v>
      </c>
      <c r="C25" s="9">
        <v>1</v>
      </c>
      <c r="D25" s="9">
        <v>1</v>
      </c>
      <c r="E25" s="9">
        <v>0</v>
      </c>
      <c r="F25" s="9">
        <v>1</v>
      </c>
      <c r="G25" s="9">
        <v>0</v>
      </c>
      <c r="H25" s="9">
        <v>0</v>
      </c>
      <c r="I25" s="9">
        <v>0</v>
      </c>
      <c r="J25" s="9">
        <v>1</v>
      </c>
      <c r="K25" s="10" t="str">
        <f>F25/D25</f>
        <v>1</v>
      </c>
      <c r="L25" s="10" t="str">
        <f>G25/D25</f>
        <v>0</v>
      </c>
      <c r="M25" s="10" t="str">
        <f>H25/D25</f>
        <v>0</v>
      </c>
      <c r="N25" s="10" t="str">
        <f>I25/C25</f>
        <v>0</v>
      </c>
      <c r="O25" s="10" t="str">
        <f>J25/C25</f>
        <v>1</v>
      </c>
    </row>
    <row r="26">
      <c r="A26" s="5" t="s">
        <v>51</v>
      </c>
      <c r="B26" s="5" t="s">
        <v>36</v>
      </c>
      <c r="C26" s="9">
        <v>1</v>
      </c>
      <c r="D26" s="9">
        <v>1</v>
      </c>
      <c r="E26" s="9">
        <v>0</v>
      </c>
      <c r="F26" s="9">
        <v>0</v>
      </c>
      <c r="G26" s="9">
        <v>1</v>
      </c>
      <c r="H26" s="9">
        <v>0</v>
      </c>
      <c r="I26" s="9">
        <v>0</v>
      </c>
      <c r="J26" s="9">
        <v>1</v>
      </c>
      <c r="K26" s="10" t="str">
        <f>F26/D26</f>
        <v>0</v>
      </c>
      <c r="L26" s="10" t="str">
        <f>G26/D26</f>
        <v>1</v>
      </c>
      <c r="M26" s="10" t="str">
        <f>H26/D26</f>
        <v>0</v>
      </c>
      <c r="N26" s="10" t="str">
        <f>I26/C26</f>
        <v>0</v>
      </c>
      <c r="O26" s="10" t="str">
        <f>J26/C26</f>
        <v>1</v>
      </c>
    </row>
    <row r="27">
      <c r="A27" s="5" t="s">
        <v>52</v>
      </c>
      <c r="B27" s="5" t="s">
        <v>36</v>
      </c>
      <c r="C27" s="9">
        <v>1</v>
      </c>
      <c r="D27" s="9">
        <v>1</v>
      </c>
      <c r="E27" s="9">
        <v>0</v>
      </c>
      <c r="F27" s="9">
        <v>0</v>
      </c>
      <c r="G27" s="9">
        <v>0</v>
      </c>
      <c r="H27" s="9">
        <v>1</v>
      </c>
      <c r="I27" s="9">
        <v>1</v>
      </c>
      <c r="J27" s="9">
        <v>0</v>
      </c>
      <c r="K27" s="10" t="str">
        <f>F27/D27</f>
        <v>0</v>
      </c>
      <c r="L27" s="10" t="str">
        <f>G27/D27</f>
        <v>0</v>
      </c>
      <c r="M27" s="10" t="str">
        <f>H27/D27</f>
        <v>1</v>
      </c>
      <c r="N27" s="10" t="str">
        <f>I27/C27</f>
        <v>1</v>
      </c>
      <c r="O27" s="10" t="str">
        <f>J27/C27</f>
        <v>0</v>
      </c>
    </row>
    <row r="28">
      <c r="A28" s="5" t="s">
        <v>53</v>
      </c>
      <c r="B28" s="5" t="s">
        <v>36</v>
      </c>
      <c r="C28" s="9">
        <v>1</v>
      </c>
      <c r="D28" s="9">
        <v>0</v>
      </c>
      <c r="E28" s="9">
        <v>1</v>
      </c>
      <c r="F28" s="9">
        <v>0</v>
      </c>
      <c r="G28" s="9">
        <v>0</v>
      </c>
      <c r="H28" s="9">
        <v>0</v>
      </c>
      <c r="I28" s="9">
        <v>0</v>
      </c>
      <c r="J28" s="9">
        <v>1</v>
      </c>
      <c r="K28" s="7" t="s">
        <v>49</v>
      </c>
      <c r="L28" s="7" t="s">
        <v>49</v>
      </c>
      <c r="M28" s="7" t="s">
        <v>49</v>
      </c>
      <c r="N28" s="10" t="str">
        <f>I28/C28</f>
        <v>0</v>
      </c>
      <c r="O28" s="10" t="str">
        <f>J28/C28</f>
        <v>1</v>
      </c>
    </row>
    <row r="29">
      <c r="A29" s="5" t="s">
        <v>54</v>
      </c>
      <c r="B29" s="5" t="s">
        <v>36</v>
      </c>
      <c r="C29" s="9">
        <v>1</v>
      </c>
      <c r="D29" s="9">
        <v>1</v>
      </c>
      <c r="E29" s="9">
        <v>0</v>
      </c>
      <c r="F29" s="9">
        <v>1</v>
      </c>
      <c r="G29" s="9">
        <v>0</v>
      </c>
      <c r="H29" s="9">
        <v>0</v>
      </c>
      <c r="I29" s="9">
        <v>0</v>
      </c>
      <c r="J29" s="9">
        <v>1</v>
      </c>
      <c r="K29" s="10" t="str">
        <f>F29/D29</f>
        <v>1</v>
      </c>
      <c r="L29" s="10" t="str">
        <f>G29/D29</f>
        <v>0</v>
      </c>
      <c r="M29" s="10" t="str">
        <f>H29/D29</f>
        <v>0</v>
      </c>
      <c r="N29" s="10" t="str">
        <f>I29/C29</f>
        <v>0</v>
      </c>
      <c r="O29" s="10" t="str">
        <f>J29/C29</f>
        <v>1</v>
      </c>
    </row>
    <row r="30">
      <c r="A30" s="5" t="s">
        <v>55</v>
      </c>
      <c r="B30" s="5" t="s">
        <v>36</v>
      </c>
      <c r="C30" s="9">
        <v>1</v>
      </c>
      <c r="D30" s="9">
        <v>1</v>
      </c>
      <c r="E30" s="9">
        <v>0</v>
      </c>
      <c r="F30" s="9">
        <v>0</v>
      </c>
      <c r="G30" s="9">
        <v>1</v>
      </c>
      <c r="H30" s="9">
        <v>0</v>
      </c>
      <c r="I30" s="9">
        <v>1</v>
      </c>
      <c r="J30" s="9">
        <v>0</v>
      </c>
      <c r="K30" s="10" t="str">
        <f>F30/D30</f>
        <v>0</v>
      </c>
      <c r="L30" s="10" t="str">
        <f>G30/D30</f>
        <v>1</v>
      </c>
      <c r="M30" s="10" t="str">
        <f>H30/D30</f>
        <v>0</v>
      </c>
      <c r="N30" s="10" t="str">
        <f>I30/C30</f>
        <v>1</v>
      </c>
      <c r="O30" s="10" t="str">
        <f>J30/C30</f>
        <v>0</v>
      </c>
    </row>
    <row r="31">
      <c r="A31" s="5" t="s">
        <v>56</v>
      </c>
      <c r="B31" s="5" t="s">
        <v>36</v>
      </c>
      <c r="C31" s="9">
        <v>1</v>
      </c>
      <c r="D31" s="9">
        <v>1</v>
      </c>
      <c r="E31" s="9">
        <v>0</v>
      </c>
      <c r="F31" s="9">
        <v>0</v>
      </c>
      <c r="G31" s="9">
        <v>0</v>
      </c>
      <c r="H31" s="9">
        <v>1</v>
      </c>
      <c r="I31" s="9">
        <v>0</v>
      </c>
      <c r="J31" s="9">
        <v>1</v>
      </c>
      <c r="K31" s="10" t="str">
        <f>F31/D31</f>
        <v>0</v>
      </c>
      <c r="L31" s="10" t="str">
        <f>G31/D31</f>
        <v>0</v>
      </c>
      <c r="M31" s="10" t="str">
        <f>H31/D31</f>
        <v>1</v>
      </c>
      <c r="N31" s="10" t="str">
        <f>I31/C31</f>
        <v>0</v>
      </c>
      <c r="O31" s="10" t="str">
        <f>J31/C31</f>
        <v>1</v>
      </c>
    </row>
    <row r="32">
      <c r="A32" s="5" t="s">
        <v>57</v>
      </c>
      <c r="B32" s="5" t="s">
        <v>36</v>
      </c>
      <c r="C32" s="9">
        <v>1</v>
      </c>
      <c r="D32" s="9">
        <v>0</v>
      </c>
      <c r="E32" s="9">
        <v>1</v>
      </c>
      <c r="F32" s="9">
        <v>0</v>
      </c>
      <c r="G32" s="9">
        <v>0</v>
      </c>
      <c r="H32" s="9">
        <v>0</v>
      </c>
      <c r="I32" s="9">
        <v>0</v>
      </c>
      <c r="J32" s="9">
        <v>1</v>
      </c>
      <c r="K32" s="7" t="s">
        <v>49</v>
      </c>
      <c r="L32" s="7" t="s">
        <v>49</v>
      </c>
      <c r="M32" s="7" t="s">
        <v>49</v>
      </c>
      <c r="N32" s="10" t="str">
        <f>I32/C32</f>
        <v>0</v>
      </c>
      <c r="O32" s="10" t="str">
        <f>J32/C32</f>
        <v>1</v>
      </c>
    </row>
    <row r="33">
      <c r="A33" s="5" t="s">
        <v>58</v>
      </c>
      <c r="B33" s="5" t="s">
        <v>36</v>
      </c>
      <c r="C33" s="9">
        <v>1</v>
      </c>
      <c r="D33" s="9">
        <v>1</v>
      </c>
      <c r="E33" s="9">
        <v>0</v>
      </c>
      <c r="F33" s="9">
        <v>1</v>
      </c>
      <c r="G33" s="9">
        <v>0</v>
      </c>
      <c r="H33" s="9">
        <v>0</v>
      </c>
      <c r="I33" s="9">
        <v>1</v>
      </c>
      <c r="J33" s="9">
        <v>0</v>
      </c>
      <c r="K33" s="10" t="str">
        <f>F33/D33</f>
        <v>1</v>
      </c>
      <c r="L33" s="10" t="str">
        <f>G33/D33</f>
        <v>0</v>
      </c>
      <c r="M33" s="10" t="str">
        <f>H33/D33</f>
        <v>0</v>
      </c>
      <c r="N33" s="10" t="str">
        <f>I33/C33</f>
        <v>1</v>
      </c>
      <c r="O33" s="10" t="str">
        <f>J33/C33</f>
        <v>0</v>
      </c>
    </row>
    <row r="34">
      <c r="A34" s="5" t="s">
        <v>59</v>
      </c>
      <c r="B34" s="5" t="s">
        <v>36</v>
      </c>
      <c r="C34" s="9">
        <v>1</v>
      </c>
      <c r="D34" s="9">
        <v>1</v>
      </c>
      <c r="E34" s="9">
        <v>0</v>
      </c>
      <c r="F34" s="9">
        <v>0</v>
      </c>
      <c r="G34" s="9">
        <v>1</v>
      </c>
      <c r="H34" s="9">
        <v>0</v>
      </c>
      <c r="I34" s="9">
        <v>0</v>
      </c>
      <c r="J34" s="9">
        <v>1</v>
      </c>
      <c r="K34" s="10" t="str">
        <f>F34/D34</f>
        <v>0</v>
      </c>
      <c r="L34" s="10" t="str">
        <f>G34/D34</f>
        <v>1</v>
      </c>
      <c r="M34" s="10" t="str">
        <f>H34/D34</f>
        <v>0</v>
      </c>
      <c r="N34" s="10" t="str">
        <f>I34/C34</f>
        <v>0</v>
      </c>
      <c r="O34" s="10" t="str">
        <f>J34/C34</f>
        <v>1</v>
      </c>
    </row>
    <row r="35">
      <c r="A35" s="5" t="s">
        <v>60</v>
      </c>
      <c r="B35" s="5" t="s">
        <v>36</v>
      </c>
      <c r="C35" s="9">
        <v>1</v>
      </c>
      <c r="D35" s="9">
        <v>1</v>
      </c>
      <c r="E35" s="9">
        <v>0</v>
      </c>
      <c r="F35" s="9">
        <v>0</v>
      </c>
      <c r="G35" s="9">
        <v>0</v>
      </c>
      <c r="H35" s="9">
        <v>1</v>
      </c>
      <c r="I35" s="9">
        <v>0</v>
      </c>
      <c r="J35" s="9">
        <v>1</v>
      </c>
      <c r="K35" s="10" t="str">
        <f>F35/D35</f>
        <v>0</v>
      </c>
      <c r="L35" s="10" t="str">
        <f>G35/D35</f>
        <v>0</v>
      </c>
      <c r="M35" s="10" t="str">
        <f>H35/D35</f>
        <v>1</v>
      </c>
      <c r="N35" s="10" t="str">
        <f>I35/C35</f>
        <v>0</v>
      </c>
      <c r="O35" s="10" t="str">
        <f>J35/C35</f>
        <v>1</v>
      </c>
    </row>
    <row r="36">
      <c r="A36" s="5" t="s">
        <v>61</v>
      </c>
      <c r="B36" s="5" t="s">
        <v>36</v>
      </c>
      <c r="C36" s="9">
        <v>1</v>
      </c>
      <c r="D36" s="9">
        <v>0</v>
      </c>
      <c r="E36" s="9">
        <v>1</v>
      </c>
      <c r="F36" s="9">
        <v>0</v>
      </c>
      <c r="G36" s="9">
        <v>0</v>
      </c>
      <c r="H36" s="9">
        <v>0</v>
      </c>
      <c r="I36" s="9">
        <v>1</v>
      </c>
      <c r="J36" s="9">
        <v>0</v>
      </c>
      <c r="K36" s="7" t="s">
        <v>49</v>
      </c>
      <c r="L36" s="7" t="s">
        <v>49</v>
      </c>
      <c r="M36" s="7" t="s">
        <v>49</v>
      </c>
      <c r="N36" s="10" t="str">
        <f>I36/C36</f>
        <v>1</v>
      </c>
      <c r="O36" s="10" t="str">
        <f>J36/C36</f>
        <v>0</v>
      </c>
    </row>
    <row r="37">
      <c r="A37" s="5" t="s">
        <v>62</v>
      </c>
      <c r="B37" s="5" t="s">
        <v>36</v>
      </c>
      <c r="C37" s="9">
        <v>1</v>
      </c>
      <c r="D37" s="9">
        <v>1</v>
      </c>
      <c r="E37" s="9">
        <v>0</v>
      </c>
      <c r="F37" s="9">
        <v>1</v>
      </c>
      <c r="G37" s="9">
        <v>0</v>
      </c>
      <c r="H37" s="9">
        <v>0</v>
      </c>
      <c r="I37" s="9">
        <v>0</v>
      </c>
      <c r="J37" s="9">
        <v>1</v>
      </c>
      <c r="K37" s="10" t="str">
        <f>F37/D37</f>
        <v>1</v>
      </c>
      <c r="L37" s="10" t="str">
        <f>G37/D37</f>
        <v>0</v>
      </c>
      <c r="M37" s="10" t="str">
        <f>H37/D37</f>
        <v>0</v>
      </c>
      <c r="N37" s="10" t="str">
        <f>I37/C37</f>
        <v>0</v>
      </c>
      <c r="O37" s="10" t="str">
        <f>J37/C37</f>
        <v>1</v>
      </c>
    </row>
    <row r="38">
      <c r="A38" s="5" t="s">
        <v>63</v>
      </c>
      <c r="B38" s="5" t="s">
        <v>36</v>
      </c>
      <c r="C38" s="9">
        <v>1</v>
      </c>
      <c r="D38" s="9">
        <v>1</v>
      </c>
      <c r="E38" s="9">
        <v>0</v>
      </c>
      <c r="F38" s="9">
        <v>0</v>
      </c>
      <c r="G38" s="9">
        <v>1</v>
      </c>
      <c r="H38" s="9">
        <v>0</v>
      </c>
      <c r="I38" s="9">
        <v>0</v>
      </c>
      <c r="J38" s="9">
        <v>1</v>
      </c>
      <c r="K38" s="10" t="str">
        <f>F38/D38</f>
        <v>0</v>
      </c>
      <c r="L38" s="10" t="str">
        <f>G38/D38</f>
        <v>1</v>
      </c>
      <c r="M38" s="10" t="str">
        <f>H38/D38</f>
        <v>0</v>
      </c>
      <c r="N38" s="10" t="str">
        <f>I38/C38</f>
        <v>0</v>
      </c>
      <c r="O38" s="10" t="str">
        <f>J38/C38</f>
        <v>1</v>
      </c>
    </row>
    <row r="39">
      <c r="A39" s="5" t="s">
        <v>64</v>
      </c>
      <c r="B39" s="5" t="s">
        <v>36</v>
      </c>
      <c r="C39" s="9">
        <v>1</v>
      </c>
      <c r="D39" s="9">
        <v>1</v>
      </c>
      <c r="E39" s="9">
        <v>0</v>
      </c>
      <c r="F39" s="9">
        <v>0</v>
      </c>
      <c r="G39" s="9">
        <v>0</v>
      </c>
      <c r="H39" s="9">
        <v>1</v>
      </c>
      <c r="I39" s="9">
        <v>1</v>
      </c>
      <c r="J39" s="9">
        <v>0</v>
      </c>
      <c r="K39" s="10" t="str">
        <f>F39/D39</f>
        <v>0</v>
      </c>
      <c r="L39" s="10" t="str">
        <f>G39/D39</f>
        <v>0</v>
      </c>
      <c r="M39" s="10" t="str">
        <f>H39/D39</f>
        <v>1</v>
      </c>
      <c r="N39" s="10" t="str">
        <f>I39/C39</f>
        <v>1</v>
      </c>
      <c r="O39" s="10" t="str">
        <f>J39/C39</f>
        <v>0</v>
      </c>
    </row>
    <row r="40">
      <c r="A40" s="5" t="s">
        <v>65</v>
      </c>
      <c r="B40" s="5" t="s">
        <v>36</v>
      </c>
      <c r="C40" s="9">
        <v>1</v>
      </c>
      <c r="D40" s="9">
        <v>0</v>
      </c>
      <c r="E40" s="9">
        <v>1</v>
      </c>
      <c r="F40" s="9">
        <v>0</v>
      </c>
      <c r="G40" s="9">
        <v>0</v>
      </c>
      <c r="H40" s="9">
        <v>0</v>
      </c>
      <c r="I40" s="9">
        <v>0</v>
      </c>
      <c r="J40" s="9">
        <v>1</v>
      </c>
      <c r="K40" s="7" t="s">
        <v>49</v>
      </c>
      <c r="L40" s="7" t="s">
        <v>49</v>
      </c>
      <c r="M40" s="7" t="s">
        <v>49</v>
      </c>
      <c r="N40" s="10" t="str">
        <f>I40/C40</f>
        <v>0</v>
      </c>
      <c r="O40" s="10" t="str">
        <f>J40/C40</f>
        <v>1</v>
      </c>
    </row>
    <row r="41">
      <c r="A41" s="5" t="s">
        <v>66</v>
      </c>
      <c r="B41" s="5" t="s">
        <v>36</v>
      </c>
      <c r="C41" s="9">
        <v>1</v>
      </c>
      <c r="D41" s="9">
        <v>1</v>
      </c>
      <c r="E41" s="9">
        <v>0</v>
      </c>
      <c r="F41" s="9">
        <v>1</v>
      </c>
      <c r="G41" s="9">
        <v>0</v>
      </c>
      <c r="H41" s="9">
        <v>0</v>
      </c>
      <c r="I41" s="9">
        <v>0</v>
      </c>
      <c r="J41" s="9">
        <v>1</v>
      </c>
      <c r="K41" s="10" t="str">
        <f>F41/D41</f>
        <v>1</v>
      </c>
      <c r="L41" s="10" t="str">
        <f>G41/D41</f>
        <v>0</v>
      </c>
      <c r="M41" s="10" t="str">
        <f>H41/D41</f>
        <v>0</v>
      </c>
      <c r="N41" s="10" t="str">
        <f>I41/C41</f>
        <v>0</v>
      </c>
      <c r="O41" s="10" t="str">
        <f>J41/C41</f>
        <v>1</v>
      </c>
    </row>
    <row r="42">
      <c r="A42" s="5" t="s">
        <v>67</v>
      </c>
      <c r="B42" s="5" t="s">
        <v>36</v>
      </c>
      <c r="C42" s="9">
        <v>1</v>
      </c>
      <c r="D42" s="9">
        <v>1</v>
      </c>
      <c r="E42" s="9">
        <v>0</v>
      </c>
      <c r="F42" s="9">
        <v>0</v>
      </c>
      <c r="G42" s="9">
        <v>1</v>
      </c>
      <c r="H42" s="9">
        <v>0</v>
      </c>
      <c r="I42" s="9">
        <v>1</v>
      </c>
      <c r="J42" s="9">
        <v>0</v>
      </c>
      <c r="K42" s="10" t="str">
        <f>F42/D42</f>
        <v>0</v>
      </c>
      <c r="L42" s="10" t="str">
        <f>G42/D42</f>
        <v>1</v>
      </c>
      <c r="M42" s="10" t="str">
        <f>H42/D42</f>
        <v>0</v>
      </c>
      <c r="N42" s="10" t="str">
        <f>I42/C42</f>
        <v>1</v>
      </c>
      <c r="O42" s="10" t="str">
        <f>J42/C42</f>
        <v>0</v>
      </c>
    </row>
    <row r="43">
      <c r="A43" s="5" t="s">
        <v>68</v>
      </c>
      <c r="B43" s="5" t="s">
        <v>36</v>
      </c>
      <c r="C43" s="9">
        <v>1</v>
      </c>
      <c r="D43" s="9">
        <v>1</v>
      </c>
      <c r="E43" s="9">
        <v>0</v>
      </c>
      <c r="F43" s="9">
        <v>0</v>
      </c>
      <c r="G43" s="9">
        <v>0</v>
      </c>
      <c r="H43" s="9">
        <v>1</v>
      </c>
      <c r="I43" s="9">
        <v>0</v>
      </c>
      <c r="J43" s="9">
        <v>1</v>
      </c>
      <c r="K43" s="10" t="str">
        <f>F43/D43</f>
        <v>0</v>
      </c>
      <c r="L43" s="10" t="str">
        <f>G43/D43</f>
        <v>0</v>
      </c>
      <c r="M43" s="10" t="str">
        <f>H43/D43</f>
        <v>1</v>
      </c>
      <c r="N43" s="10" t="str">
        <f>I43/C43</f>
        <v>0</v>
      </c>
      <c r="O43" s="10" t="str">
        <f>J43/C43</f>
        <v>1</v>
      </c>
    </row>
    <row r="44">
      <c r="A44" s="5" t="s">
        <v>69</v>
      </c>
      <c r="B44" s="5" t="s">
        <v>36</v>
      </c>
      <c r="C44" s="9">
        <v>1</v>
      </c>
      <c r="D44" s="9">
        <v>0</v>
      </c>
      <c r="E44" s="9">
        <v>1</v>
      </c>
      <c r="F44" s="9">
        <v>0</v>
      </c>
      <c r="G44" s="9">
        <v>0</v>
      </c>
      <c r="H44" s="9">
        <v>0</v>
      </c>
      <c r="I44" s="9">
        <v>0</v>
      </c>
      <c r="J44" s="9">
        <v>1</v>
      </c>
      <c r="K44" s="7" t="s">
        <v>49</v>
      </c>
      <c r="L44" s="7" t="s">
        <v>49</v>
      </c>
      <c r="M44" s="7" t="s">
        <v>49</v>
      </c>
      <c r="N44" s="10" t="str">
        <f>I44/C44</f>
        <v>0</v>
      </c>
      <c r="O44" s="10" t="str">
        <f>J44/C44</f>
        <v>1</v>
      </c>
    </row>
    <row r="45">
      <c r="A45" s="5" t="s">
        <v>70</v>
      </c>
      <c r="B45" s="5" t="s">
        <v>36</v>
      </c>
      <c r="C45" s="9">
        <v>1</v>
      </c>
      <c r="D45" s="9">
        <v>1</v>
      </c>
      <c r="E45" s="9">
        <v>0</v>
      </c>
      <c r="F45" s="9">
        <v>1</v>
      </c>
      <c r="G45" s="9">
        <v>0</v>
      </c>
      <c r="H45" s="9">
        <v>0</v>
      </c>
      <c r="I45" s="9">
        <v>1</v>
      </c>
      <c r="J45" s="9">
        <v>0</v>
      </c>
      <c r="K45" s="10" t="str">
        <f>F45/D45</f>
        <v>1</v>
      </c>
      <c r="L45" s="10" t="str">
        <f>G45/D45</f>
        <v>0</v>
      </c>
      <c r="M45" s="10" t="str">
        <f>H45/D45</f>
        <v>0</v>
      </c>
      <c r="N45" s="10" t="str">
        <f>I45/C45</f>
        <v>1</v>
      </c>
      <c r="O45" s="10" t="str">
        <f>J45/C45</f>
        <v>0</v>
      </c>
    </row>
    <row r="46">
      <c r="A46" s="5" t="s">
        <v>71</v>
      </c>
      <c r="B46" s="5" t="s">
        <v>36</v>
      </c>
      <c r="C46" s="9">
        <v>1</v>
      </c>
      <c r="D46" s="9">
        <v>1</v>
      </c>
      <c r="E46" s="9">
        <v>0</v>
      </c>
      <c r="F46" s="9">
        <v>0</v>
      </c>
      <c r="G46" s="9">
        <v>1</v>
      </c>
      <c r="H46" s="9">
        <v>0</v>
      </c>
      <c r="I46" s="9">
        <v>0</v>
      </c>
      <c r="J46" s="9">
        <v>1</v>
      </c>
      <c r="K46" s="10" t="str">
        <f>F46/D46</f>
        <v>0</v>
      </c>
      <c r="L46" s="10" t="str">
        <f>G46/D46</f>
        <v>1</v>
      </c>
      <c r="M46" s="10" t="str">
        <f>H46/D46</f>
        <v>0</v>
      </c>
      <c r="N46" s="10" t="str">
        <f>I46/C46</f>
        <v>0</v>
      </c>
      <c r="O46" s="10" t="str">
        <f>J46/C46</f>
        <v>1</v>
      </c>
    </row>
    <row r="47">
      <c r="A47" s="5" t="s">
        <v>72</v>
      </c>
      <c r="B47" s="5" t="s">
        <v>36</v>
      </c>
      <c r="C47" s="9">
        <v>1</v>
      </c>
      <c r="D47" s="9">
        <v>1</v>
      </c>
      <c r="E47" s="9">
        <v>0</v>
      </c>
      <c r="F47" s="9">
        <v>0</v>
      </c>
      <c r="G47" s="9">
        <v>0</v>
      </c>
      <c r="H47" s="9">
        <v>1</v>
      </c>
      <c r="I47" s="9">
        <v>0</v>
      </c>
      <c r="J47" s="9">
        <v>1</v>
      </c>
      <c r="K47" s="10" t="str">
        <f>F47/D47</f>
        <v>0</v>
      </c>
      <c r="L47" s="10" t="str">
        <f>G47/D47</f>
        <v>0</v>
      </c>
      <c r="M47" s="10" t="str">
        <f>H47/D47</f>
        <v>1</v>
      </c>
      <c r="N47" s="10" t="str">
        <f>I47/C47</f>
        <v>0</v>
      </c>
      <c r="O47" s="10" t="str">
        <f>J47/C47</f>
        <v>1</v>
      </c>
    </row>
    <row r="48">
      <c r="A48" s="5" t="s">
        <v>73</v>
      </c>
      <c r="B48" s="5" t="s">
        <v>36</v>
      </c>
      <c r="C48" s="9">
        <v>1</v>
      </c>
      <c r="D48" s="9">
        <v>0</v>
      </c>
      <c r="E48" s="9">
        <v>1</v>
      </c>
      <c r="F48" s="9">
        <v>0</v>
      </c>
      <c r="G48" s="9">
        <v>0</v>
      </c>
      <c r="H48" s="9">
        <v>0</v>
      </c>
      <c r="I48" s="9">
        <v>1</v>
      </c>
      <c r="J48" s="9">
        <v>0</v>
      </c>
      <c r="K48" s="7" t="s">
        <v>49</v>
      </c>
      <c r="L48" s="7" t="s">
        <v>49</v>
      </c>
      <c r="M48" s="7" t="s">
        <v>49</v>
      </c>
      <c r="N48" s="10" t="str">
        <f>I48/C48</f>
        <v>1</v>
      </c>
      <c r="O48" s="10" t="str">
        <f>J48/C48</f>
        <v>0</v>
      </c>
    </row>
    <row r="49">
      <c r="A49" s="5" t="s">
        <v>74</v>
      </c>
      <c r="B49" s="5" t="s">
        <v>36</v>
      </c>
      <c r="C49" s="9">
        <v>1</v>
      </c>
      <c r="D49" s="9">
        <v>1</v>
      </c>
      <c r="E49" s="9">
        <v>0</v>
      </c>
      <c r="F49" s="9">
        <v>1</v>
      </c>
      <c r="G49" s="9">
        <v>0</v>
      </c>
      <c r="H49" s="9">
        <v>0</v>
      </c>
      <c r="I49" s="9">
        <v>0</v>
      </c>
      <c r="J49" s="9">
        <v>1</v>
      </c>
      <c r="K49" s="10" t="str">
        <f>F49/D49</f>
        <v>1</v>
      </c>
      <c r="L49" s="10" t="str">
        <f>G49/D49</f>
        <v>0</v>
      </c>
      <c r="M49" s="10" t="str">
        <f>H49/D49</f>
        <v>0</v>
      </c>
      <c r="N49" s="10" t="str">
        <f>I49/C49</f>
        <v>0</v>
      </c>
      <c r="O49" s="10" t="str">
        <f>J49/C49</f>
        <v>1</v>
      </c>
    </row>
    <row r="50">
      <c r="A50" s="5" t="s">
        <v>75</v>
      </c>
      <c r="B50" s="5" t="s">
        <v>36</v>
      </c>
      <c r="C50" s="9">
        <v>1</v>
      </c>
      <c r="D50" s="9">
        <v>1</v>
      </c>
      <c r="E50" s="9">
        <v>0</v>
      </c>
      <c r="F50" s="9">
        <v>0</v>
      </c>
      <c r="G50" s="9">
        <v>1</v>
      </c>
      <c r="H50" s="9">
        <v>0</v>
      </c>
      <c r="I50" s="9">
        <v>0</v>
      </c>
      <c r="J50" s="9">
        <v>1</v>
      </c>
      <c r="K50" s="10" t="str">
        <f>F50/D50</f>
        <v>0</v>
      </c>
      <c r="L50" s="10" t="str">
        <f>G50/D50</f>
        <v>1</v>
      </c>
      <c r="M50" s="10" t="str">
        <f>H50/D50</f>
        <v>0</v>
      </c>
      <c r="N50" s="10" t="str">
        <f>I50/C50</f>
        <v>0</v>
      </c>
      <c r="O50" s="10" t="str">
        <f>J50/C50</f>
        <v>1</v>
      </c>
    </row>
    <row r="51">
      <c r="A51" s="5" t="s">
        <v>76</v>
      </c>
      <c r="B51" s="5" t="s">
        <v>36</v>
      </c>
      <c r="C51" s="9">
        <v>1</v>
      </c>
      <c r="D51" s="9">
        <v>1</v>
      </c>
      <c r="E51" s="9">
        <v>0</v>
      </c>
      <c r="F51" s="9">
        <v>0</v>
      </c>
      <c r="G51" s="9">
        <v>0</v>
      </c>
      <c r="H51" s="9">
        <v>1</v>
      </c>
      <c r="I51" s="9">
        <v>1</v>
      </c>
      <c r="J51" s="9">
        <v>0</v>
      </c>
      <c r="K51" s="10" t="str">
        <f>F51/D51</f>
        <v>0</v>
      </c>
      <c r="L51" s="10" t="str">
        <f>G51/D51</f>
        <v>0</v>
      </c>
      <c r="M51" s="10" t="str">
        <f>H51/D51</f>
        <v>1</v>
      </c>
      <c r="N51" s="10" t="str">
        <f>I51/C51</f>
        <v>1</v>
      </c>
      <c r="O51" s="10" t="str">
        <f>J51/C51</f>
        <v>0</v>
      </c>
    </row>
    <row r="52">
      <c r="A52" s="5" t="s">
        <v>77</v>
      </c>
      <c r="B52" s="5" t="s">
        <v>36</v>
      </c>
      <c r="C52" s="9">
        <v>1</v>
      </c>
      <c r="D52" s="9">
        <v>0</v>
      </c>
      <c r="E52" s="9">
        <v>1</v>
      </c>
      <c r="F52" s="9">
        <v>0</v>
      </c>
      <c r="G52" s="9">
        <v>0</v>
      </c>
      <c r="H52" s="9">
        <v>0</v>
      </c>
      <c r="I52" s="9">
        <v>0</v>
      </c>
      <c r="J52" s="9">
        <v>1</v>
      </c>
      <c r="K52" s="7" t="s">
        <v>49</v>
      </c>
      <c r="L52" s="7" t="s">
        <v>49</v>
      </c>
      <c r="M52" s="7" t="s">
        <v>49</v>
      </c>
      <c r="N52" s="10" t="str">
        <f>I52/C52</f>
        <v>0</v>
      </c>
      <c r="O52" s="10" t="str">
        <f>J52/C52</f>
        <v>1</v>
      </c>
    </row>
    <row r="53">
      <c r="A53" s="5" t="s">
        <v>78</v>
      </c>
      <c r="B53" s="5" t="s">
        <v>36</v>
      </c>
      <c r="C53" s="9">
        <v>1</v>
      </c>
      <c r="D53" s="9">
        <v>1</v>
      </c>
      <c r="E53" s="9">
        <v>0</v>
      </c>
      <c r="F53" s="9">
        <v>1</v>
      </c>
      <c r="G53" s="9">
        <v>0</v>
      </c>
      <c r="H53" s="9">
        <v>0</v>
      </c>
      <c r="I53" s="9">
        <v>0</v>
      </c>
      <c r="J53" s="9">
        <v>1</v>
      </c>
      <c r="K53" s="10" t="str">
        <f>F53/D53</f>
        <v>1</v>
      </c>
      <c r="L53" s="10" t="str">
        <f>G53/D53</f>
        <v>0</v>
      </c>
      <c r="M53" s="10" t="str">
        <f>H53/D53</f>
        <v>0</v>
      </c>
      <c r="N53" s="10" t="str">
        <f>I53/C53</f>
        <v>0</v>
      </c>
      <c r="O53" s="10" t="str">
        <f>J53/C53</f>
        <v>1</v>
      </c>
    </row>
    <row r="54">
      <c r="A54" s="5" t="s">
        <v>79</v>
      </c>
      <c r="B54" s="5" t="s">
        <v>36</v>
      </c>
      <c r="C54" s="9">
        <v>1</v>
      </c>
      <c r="D54" s="9">
        <v>1</v>
      </c>
      <c r="E54" s="9">
        <v>0</v>
      </c>
      <c r="F54" s="9">
        <v>0</v>
      </c>
      <c r="G54" s="9">
        <v>1</v>
      </c>
      <c r="H54" s="9">
        <v>0</v>
      </c>
      <c r="I54" s="9">
        <v>1</v>
      </c>
      <c r="J54" s="9">
        <v>0</v>
      </c>
      <c r="K54" s="10" t="str">
        <f>F54/D54</f>
        <v>0</v>
      </c>
      <c r="L54" s="10" t="str">
        <f>G54/D54</f>
        <v>1</v>
      </c>
      <c r="M54" s="10" t="str">
        <f>H54/D54</f>
        <v>0</v>
      </c>
      <c r="N54" s="10" t="str">
        <f>I54/C54</f>
        <v>1</v>
      </c>
      <c r="O54" s="10" t="str">
        <f>J54/C54</f>
        <v>0</v>
      </c>
    </row>
    <row r="55">
      <c r="A55" s="5" t="s">
        <v>80</v>
      </c>
      <c r="B55" s="5" t="s">
        <v>36</v>
      </c>
      <c r="C55" s="9">
        <v>1</v>
      </c>
      <c r="D55" s="9">
        <v>1</v>
      </c>
      <c r="E55" s="9">
        <v>0</v>
      </c>
      <c r="F55" s="9">
        <v>0</v>
      </c>
      <c r="G55" s="9">
        <v>0</v>
      </c>
      <c r="H55" s="9">
        <v>1</v>
      </c>
      <c r="I55" s="9">
        <v>0</v>
      </c>
      <c r="J55" s="9">
        <v>1</v>
      </c>
      <c r="K55" s="10" t="str">
        <f>F55/D55</f>
        <v>0</v>
      </c>
      <c r="L55" s="10" t="str">
        <f>G55/D55</f>
        <v>0</v>
      </c>
      <c r="M55" s="10" t="str">
        <f>H55/D55</f>
        <v>1</v>
      </c>
      <c r="N55" s="10" t="str">
        <f>I55/C55</f>
        <v>0</v>
      </c>
      <c r="O55" s="10" t="str">
        <f>J55/C55</f>
        <v>1</v>
      </c>
    </row>
    <row r="56">
      <c r="A56" s="5" t="s">
        <v>81</v>
      </c>
      <c r="B56" s="5" t="s">
        <v>36</v>
      </c>
      <c r="C56" s="9">
        <v>1</v>
      </c>
      <c r="D56" s="9">
        <v>0</v>
      </c>
      <c r="E56" s="9">
        <v>1</v>
      </c>
      <c r="F56" s="9">
        <v>0</v>
      </c>
      <c r="G56" s="9">
        <v>0</v>
      </c>
      <c r="H56" s="9">
        <v>0</v>
      </c>
      <c r="I56" s="9">
        <v>0</v>
      </c>
      <c r="J56" s="9">
        <v>1</v>
      </c>
      <c r="K56" s="7" t="s">
        <v>49</v>
      </c>
      <c r="L56" s="7" t="s">
        <v>49</v>
      </c>
      <c r="M56" s="7" t="s">
        <v>49</v>
      </c>
      <c r="N56" s="10" t="str">
        <f>I56/C56</f>
        <v>0</v>
      </c>
      <c r="O56" s="10" t="str">
        <f>J56/C56</f>
        <v>1</v>
      </c>
    </row>
    <row r="57">
      <c r="A57" s="5" t="s">
        <v>82</v>
      </c>
      <c r="B57" s="5" t="s">
        <v>36</v>
      </c>
      <c r="C57" s="9">
        <v>1</v>
      </c>
      <c r="D57" s="9">
        <v>1</v>
      </c>
      <c r="E57" s="9">
        <v>0</v>
      </c>
      <c r="F57" s="9">
        <v>1</v>
      </c>
      <c r="G57" s="9">
        <v>0</v>
      </c>
      <c r="H57" s="9">
        <v>0</v>
      </c>
      <c r="I57" s="9">
        <v>1</v>
      </c>
      <c r="J57" s="9">
        <v>0</v>
      </c>
      <c r="K57" s="10" t="str">
        <f>F57/D57</f>
        <v>1</v>
      </c>
      <c r="L57" s="10" t="str">
        <f>G57/D57</f>
        <v>0</v>
      </c>
      <c r="M57" s="10" t="str">
        <f>H57/D57</f>
        <v>0</v>
      </c>
      <c r="N57" s="10" t="str">
        <f>I57/C57</f>
        <v>1</v>
      </c>
      <c r="O57" s="10" t="str">
        <f>J57/C57</f>
        <v>0</v>
      </c>
    </row>
    <row r="58">
      <c r="A58" s="5" t="s">
        <v>83</v>
      </c>
      <c r="B58" s="5" t="s">
        <v>36</v>
      </c>
      <c r="C58" s="9">
        <v>1</v>
      </c>
      <c r="D58" s="9">
        <v>1</v>
      </c>
      <c r="E58" s="9">
        <v>0</v>
      </c>
      <c r="F58" s="9">
        <v>0</v>
      </c>
      <c r="G58" s="9">
        <v>1</v>
      </c>
      <c r="H58" s="9">
        <v>0</v>
      </c>
      <c r="I58" s="9">
        <v>0</v>
      </c>
      <c r="J58" s="9">
        <v>1</v>
      </c>
      <c r="K58" s="10" t="str">
        <f>F58/D58</f>
        <v>0</v>
      </c>
      <c r="L58" s="10" t="str">
        <f>G58/D58</f>
        <v>1</v>
      </c>
      <c r="M58" s="10" t="str">
        <f>H58/D58</f>
        <v>0</v>
      </c>
      <c r="N58" s="10" t="str">
        <f>I58/C58</f>
        <v>0</v>
      </c>
      <c r="O58" s="10" t="str">
        <f>J58/C58</f>
        <v>1</v>
      </c>
    </row>
    <row r="59">
      <c r="A59" s="5" t="s">
        <v>84</v>
      </c>
      <c r="B59" s="5" t="s">
        <v>36</v>
      </c>
      <c r="C59" s="9">
        <v>1</v>
      </c>
      <c r="D59" s="9">
        <v>1</v>
      </c>
      <c r="E59" s="9">
        <v>0</v>
      </c>
      <c r="F59" s="9">
        <v>0</v>
      </c>
      <c r="G59" s="9">
        <v>0</v>
      </c>
      <c r="H59" s="9">
        <v>1</v>
      </c>
      <c r="I59" s="9">
        <v>0</v>
      </c>
      <c r="J59" s="9">
        <v>1</v>
      </c>
      <c r="K59" s="10" t="str">
        <f>F59/D59</f>
        <v>0</v>
      </c>
      <c r="L59" s="10" t="str">
        <f>G59/D59</f>
        <v>0</v>
      </c>
      <c r="M59" s="10" t="str">
        <f>H59/D59</f>
        <v>1</v>
      </c>
      <c r="N59" s="10" t="str">
        <f>I59/C59</f>
        <v>0</v>
      </c>
      <c r="O59" s="10" t="str">
        <f>J59/C59</f>
        <v>1</v>
      </c>
    </row>
    <row r="60">
      <c r="A60" s="5" t="s">
        <v>85</v>
      </c>
      <c r="B60" s="5" t="s">
        <v>36</v>
      </c>
      <c r="C60" s="9">
        <v>1</v>
      </c>
      <c r="D60" s="9">
        <v>0</v>
      </c>
      <c r="E60" s="9">
        <v>1</v>
      </c>
      <c r="F60" s="9">
        <v>0</v>
      </c>
      <c r="G60" s="9">
        <v>0</v>
      </c>
      <c r="H60" s="9">
        <v>0</v>
      </c>
      <c r="I60" s="9">
        <v>1</v>
      </c>
      <c r="J60" s="9">
        <v>0</v>
      </c>
      <c r="K60" s="7" t="s">
        <v>49</v>
      </c>
      <c r="L60" s="7" t="s">
        <v>49</v>
      </c>
      <c r="M60" s="7" t="s">
        <v>49</v>
      </c>
      <c r="N60" s="10" t="str">
        <f>I60/C60</f>
        <v>1</v>
      </c>
      <c r="O60" s="10" t="str">
        <f>J60/C60</f>
        <v>0</v>
      </c>
    </row>
    <row r="61">
      <c r="A61" s="5" t="s">
        <v>86</v>
      </c>
      <c r="B61" s="5" t="s">
        <v>36</v>
      </c>
      <c r="C61" s="9">
        <v>1</v>
      </c>
      <c r="D61" s="9">
        <v>1</v>
      </c>
      <c r="E61" s="9">
        <v>0</v>
      </c>
      <c r="F61" s="9">
        <v>1</v>
      </c>
      <c r="G61" s="9">
        <v>0</v>
      </c>
      <c r="H61" s="9">
        <v>0</v>
      </c>
      <c r="I61" s="9">
        <v>0</v>
      </c>
      <c r="J61" s="9">
        <v>1</v>
      </c>
      <c r="K61" s="10" t="str">
        <f>F61/D61</f>
        <v>1</v>
      </c>
      <c r="L61" s="10" t="str">
        <f>G61/D61</f>
        <v>0</v>
      </c>
      <c r="M61" s="10" t="str">
        <f>H61/D61</f>
        <v>0</v>
      </c>
      <c r="N61" s="10" t="str">
        <f>I61/C61</f>
        <v>0</v>
      </c>
      <c r="O61" s="10" t="str">
        <f>J61/C61</f>
        <v>1</v>
      </c>
    </row>
    <row r="62">
      <c r="A62" s="5" t="s">
        <v>87</v>
      </c>
      <c r="B62" s="5" t="s">
        <v>36</v>
      </c>
      <c r="C62" s="9">
        <v>1</v>
      </c>
      <c r="D62" s="9">
        <v>1</v>
      </c>
      <c r="E62" s="9">
        <v>0</v>
      </c>
      <c r="F62" s="9">
        <v>0</v>
      </c>
      <c r="G62" s="9">
        <v>1</v>
      </c>
      <c r="H62" s="9">
        <v>0</v>
      </c>
      <c r="I62" s="9">
        <v>0</v>
      </c>
      <c r="J62" s="9">
        <v>1</v>
      </c>
      <c r="K62" s="10" t="str">
        <f>F62/D62</f>
        <v>0</v>
      </c>
      <c r="L62" s="10" t="str">
        <f>G62/D62</f>
        <v>1</v>
      </c>
      <c r="M62" s="10" t="str">
        <f>H62/D62</f>
        <v>0</v>
      </c>
      <c r="N62" s="10" t="str">
        <f>I62/C62</f>
        <v>0</v>
      </c>
      <c r="O62" s="10" t="str">
        <f>J62/C62</f>
        <v>1</v>
      </c>
    </row>
    <row r="63">
      <c r="A63" s="5" t="s">
        <v>88</v>
      </c>
      <c r="B63" s="5" t="s">
        <v>36</v>
      </c>
      <c r="C63" s="9">
        <v>1</v>
      </c>
      <c r="D63" s="9">
        <v>1</v>
      </c>
      <c r="E63" s="9">
        <v>0</v>
      </c>
      <c r="F63" s="9">
        <v>0</v>
      </c>
      <c r="G63" s="9">
        <v>0</v>
      </c>
      <c r="H63" s="9">
        <v>1</v>
      </c>
      <c r="I63" s="9">
        <v>1</v>
      </c>
      <c r="J63" s="9">
        <v>0</v>
      </c>
      <c r="K63" s="10" t="str">
        <f>F63/D63</f>
        <v>0</v>
      </c>
      <c r="L63" s="10" t="str">
        <f>G63/D63</f>
        <v>0</v>
      </c>
      <c r="M63" s="10" t="str">
        <f>H63/D63</f>
        <v>1</v>
      </c>
      <c r="N63" s="10" t="str">
        <f>I63/C63</f>
        <v>1</v>
      </c>
      <c r="O63" s="10" t="str">
        <f>J63/C63</f>
        <v>0</v>
      </c>
    </row>
    <row r="64">
      <c r="A64" s="5" t="s">
        <v>89</v>
      </c>
      <c r="B64" s="5" t="s">
        <v>36</v>
      </c>
      <c r="C64" s="9">
        <v>1</v>
      </c>
      <c r="D64" s="9">
        <v>0</v>
      </c>
      <c r="E64" s="9">
        <v>1</v>
      </c>
      <c r="F64" s="9">
        <v>0</v>
      </c>
      <c r="G64" s="9">
        <v>0</v>
      </c>
      <c r="H64" s="9">
        <v>0</v>
      </c>
      <c r="I64" s="9">
        <v>0</v>
      </c>
      <c r="J64" s="9">
        <v>1</v>
      </c>
      <c r="K64" s="7" t="s">
        <v>49</v>
      </c>
      <c r="L64" s="7" t="s">
        <v>49</v>
      </c>
      <c r="M64" s="7" t="s">
        <v>49</v>
      </c>
      <c r="N64" s="10" t="str">
        <f>I64/C64</f>
        <v>0</v>
      </c>
      <c r="O64" s="10" t="str">
        <f>J64/C64</f>
        <v>1</v>
      </c>
    </row>
    <row r="65">
      <c r="A65" s="5" t="s">
        <v>90</v>
      </c>
      <c r="B65" s="5" t="s">
        <v>36</v>
      </c>
      <c r="C65" s="9">
        <v>1</v>
      </c>
      <c r="D65" s="9">
        <v>1</v>
      </c>
      <c r="E65" s="9">
        <v>0</v>
      </c>
      <c r="F65" s="9">
        <v>1</v>
      </c>
      <c r="G65" s="9">
        <v>0</v>
      </c>
      <c r="H65" s="9">
        <v>0</v>
      </c>
      <c r="I65" s="9">
        <v>0</v>
      </c>
      <c r="J65" s="9">
        <v>1</v>
      </c>
      <c r="K65" s="10" t="str">
        <f>F65/D65</f>
        <v>1</v>
      </c>
      <c r="L65" s="10" t="str">
        <f>G65/D65</f>
        <v>0</v>
      </c>
      <c r="M65" s="10" t="str">
        <f>H65/D65</f>
        <v>0</v>
      </c>
      <c r="N65" s="10" t="str">
        <f>I65/C65</f>
        <v>0</v>
      </c>
      <c r="O65" s="10" t="str">
        <f>J65/C65</f>
        <v>1</v>
      </c>
    </row>
    <row r="66">
      <c r="A66" s="5" t="s">
        <v>91</v>
      </c>
      <c r="B66" s="5" t="s">
        <v>36</v>
      </c>
      <c r="C66" s="9">
        <v>1</v>
      </c>
      <c r="D66" s="9">
        <v>1</v>
      </c>
      <c r="E66" s="9">
        <v>0</v>
      </c>
      <c r="F66" s="9">
        <v>0</v>
      </c>
      <c r="G66" s="9">
        <v>1</v>
      </c>
      <c r="H66" s="9">
        <v>0</v>
      </c>
      <c r="I66" s="9">
        <v>1</v>
      </c>
      <c r="J66" s="9">
        <v>0</v>
      </c>
      <c r="K66" s="10" t="str">
        <f>F66/D66</f>
        <v>0</v>
      </c>
      <c r="L66" s="10" t="str">
        <f>G66/D66</f>
        <v>1</v>
      </c>
      <c r="M66" s="10" t="str">
        <f>H66/D66</f>
        <v>0</v>
      </c>
      <c r="N66" s="10" t="str">
        <f>I66/C66</f>
        <v>1</v>
      </c>
      <c r="O66" s="10" t="str">
        <f>J66/C66</f>
        <v>0</v>
      </c>
    </row>
    <row r="67">
      <c r="A67" s="5" t="s">
        <v>92</v>
      </c>
      <c r="B67" s="5" t="s">
        <v>36</v>
      </c>
      <c r="C67" s="9">
        <v>1</v>
      </c>
      <c r="D67" s="9">
        <v>1</v>
      </c>
      <c r="E67" s="9">
        <v>0</v>
      </c>
      <c r="F67" s="9">
        <v>0</v>
      </c>
      <c r="G67" s="9">
        <v>0</v>
      </c>
      <c r="H67" s="9">
        <v>1</v>
      </c>
      <c r="I67" s="9">
        <v>0</v>
      </c>
      <c r="J67" s="9">
        <v>1</v>
      </c>
      <c r="K67" s="10" t="str">
        <f>F67/D67</f>
        <v>0</v>
      </c>
      <c r="L67" s="10" t="str">
        <f>G67/D67</f>
        <v>0</v>
      </c>
      <c r="M67" s="10" t="str">
        <f>H67/D67</f>
        <v>1</v>
      </c>
      <c r="N67" s="10" t="str">
        <f>I67/C67</f>
        <v>0</v>
      </c>
      <c r="O67" s="10" t="str">
        <f>J67/C67</f>
        <v>1</v>
      </c>
    </row>
    <row r="68">
      <c r="A68" s="5" t="s">
        <v>93</v>
      </c>
      <c r="B68" s="5" t="s">
        <v>36</v>
      </c>
      <c r="C68" s="9">
        <v>1</v>
      </c>
      <c r="D68" s="9">
        <v>0</v>
      </c>
      <c r="E68" s="9">
        <v>1</v>
      </c>
      <c r="F68" s="9">
        <v>0</v>
      </c>
      <c r="G68" s="9">
        <v>0</v>
      </c>
      <c r="H68" s="9">
        <v>0</v>
      </c>
      <c r="I68" s="9">
        <v>0</v>
      </c>
      <c r="J68" s="9">
        <v>1</v>
      </c>
      <c r="K68" s="7" t="s">
        <v>49</v>
      </c>
      <c r="L68" s="7" t="s">
        <v>49</v>
      </c>
      <c r="M68" s="7" t="s">
        <v>49</v>
      </c>
      <c r="N68" s="10" t="str">
        <f>I68/C68</f>
        <v>0</v>
      </c>
      <c r="O68" s="10" t="str">
        <f>J68/C68</f>
        <v>1</v>
      </c>
    </row>
    <row r="69">
      <c r="A69" s="5" t="s">
        <v>94</v>
      </c>
      <c r="B69" s="5" t="s">
        <v>36</v>
      </c>
      <c r="C69" s="9">
        <v>1</v>
      </c>
      <c r="D69" s="9">
        <v>1</v>
      </c>
      <c r="E69" s="9">
        <v>0</v>
      </c>
      <c r="F69" s="9">
        <v>1</v>
      </c>
      <c r="G69" s="9">
        <v>0</v>
      </c>
      <c r="H69" s="9">
        <v>0</v>
      </c>
      <c r="I69" s="9">
        <v>1</v>
      </c>
      <c r="J69" s="9">
        <v>0</v>
      </c>
      <c r="K69" s="10" t="str">
        <f>F69/D69</f>
        <v>1</v>
      </c>
      <c r="L69" s="10" t="str">
        <f>G69/D69</f>
        <v>0</v>
      </c>
      <c r="M69" s="10" t="str">
        <f>H69/D69</f>
        <v>0</v>
      </c>
      <c r="N69" s="10" t="str">
        <f>I69/C69</f>
        <v>1</v>
      </c>
      <c r="O69" s="10" t="str">
        <f>J69/C69</f>
        <v>0</v>
      </c>
    </row>
    <row r="70">
      <c r="A70" s="5" t="s">
        <v>95</v>
      </c>
      <c r="B70" s="5" t="s">
        <v>36</v>
      </c>
      <c r="C70" s="9">
        <v>1</v>
      </c>
      <c r="D70" s="9">
        <v>1</v>
      </c>
      <c r="E70" s="9">
        <v>0</v>
      </c>
      <c r="F70" s="9">
        <v>0</v>
      </c>
      <c r="G70" s="9">
        <v>1</v>
      </c>
      <c r="H70" s="9">
        <v>0</v>
      </c>
      <c r="I70" s="9">
        <v>0</v>
      </c>
      <c r="J70" s="9">
        <v>1</v>
      </c>
      <c r="K70" s="10" t="str">
        <f>F70/D70</f>
        <v>0</v>
      </c>
      <c r="L70" s="10" t="str">
        <f>G70/D70</f>
        <v>1</v>
      </c>
      <c r="M70" s="10" t="str">
        <f>H70/D70</f>
        <v>0</v>
      </c>
      <c r="N70" s="10" t="str">
        <f>I70/C70</f>
        <v>0</v>
      </c>
      <c r="O70" s="10" t="str">
        <f>J70/C70</f>
        <v>1</v>
      </c>
    </row>
    <row r="71">
      <c r="A71" s="5" t="s">
        <v>96</v>
      </c>
      <c r="B71" s="5" t="s">
        <v>36</v>
      </c>
      <c r="C71" s="9">
        <v>1</v>
      </c>
      <c r="D71" s="9">
        <v>1</v>
      </c>
      <c r="E71" s="9">
        <v>0</v>
      </c>
      <c r="F71" s="9">
        <v>0</v>
      </c>
      <c r="G71" s="9">
        <v>0</v>
      </c>
      <c r="H71" s="9">
        <v>1</v>
      </c>
      <c r="I71" s="9">
        <v>0</v>
      </c>
      <c r="J71" s="9">
        <v>1</v>
      </c>
      <c r="K71" s="10" t="str">
        <f>F71/D71</f>
        <v>0</v>
      </c>
      <c r="L71" s="10" t="str">
        <f>G71/D71</f>
        <v>0</v>
      </c>
      <c r="M71" s="10" t="str">
        <f>H71/D71</f>
        <v>1</v>
      </c>
      <c r="N71" s="10" t="str">
        <f>I71/C71</f>
        <v>0</v>
      </c>
      <c r="O71" s="10" t="str">
        <f>J71/C71</f>
        <v>1</v>
      </c>
    </row>
    <row r="72">
      <c r="A72" s="5" t="s">
        <v>97</v>
      </c>
      <c r="B72" s="5" t="s">
        <v>36</v>
      </c>
      <c r="C72" s="9">
        <v>1</v>
      </c>
      <c r="D72" s="9">
        <v>0</v>
      </c>
      <c r="E72" s="9">
        <v>1</v>
      </c>
      <c r="F72" s="9">
        <v>0</v>
      </c>
      <c r="G72" s="9">
        <v>0</v>
      </c>
      <c r="H72" s="9">
        <v>0</v>
      </c>
      <c r="I72" s="9">
        <v>1</v>
      </c>
      <c r="J72" s="9">
        <v>0</v>
      </c>
      <c r="K72" s="7" t="s">
        <v>49</v>
      </c>
      <c r="L72" s="7" t="s">
        <v>49</v>
      </c>
      <c r="M72" s="7" t="s">
        <v>49</v>
      </c>
      <c r="N72" s="10" t="str">
        <f>I72/C72</f>
        <v>1</v>
      </c>
      <c r="O72" s="10" t="str">
        <f>J72/C72</f>
        <v>0</v>
      </c>
    </row>
    <row r="73">
      <c r="A73" s="5" t="s">
        <v>98</v>
      </c>
      <c r="B73" s="5" t="s">
        <v>36</v>
      </c>
      <c r="C73" s="9">
        <v>1</v>
      </c>
      <c r="D73" s="9">
        <v>1</v>
      </c>
      <c r="E73" s="9">
        <v>0</v>
      </c>
      <c r="F73" s="9">
        <v>1</v>
      </c>
      <c r="G73" s="9">
        <v>0</v>
      </c>
      <c r="H73" s="9">
        <v>0</v>
      </c>
      <c r="I73" s="9">
        <v>0</v>
      </c>
      <c r="J73" s="9">
        <v>1</v>
      </c>
      <c r="K73" s="10" t="str">
        <f>F73/D73</f>
        <v>1</v>
      </c>
      <c r="L73" s="10" t="str">
        <f>G73/D73</f>
        <v>0</v>
      </c>
      <c r="M73" s="10" t="str">
        <f>H73/D73</f>
        <v>0</v>
      </c>
      <c r="N73" s="10" t="str">
        <f>I73/C73</f>
        <v>0</v>
      </c>
      <c r="O73" s="10" t="str">
        <f>J73/C73</f>
        <v>1</v>
      </c>
    </row>
    <row r="74">
      <c r="A74" s="5" t="s">
        <v>99</v>
      </c>
      <c r="B74" s="5" t="s">
        <v>36</v>
      </c>
      <c r="C74" s="9">
        <v>1</v>
      </c>
      <c r="D74" s="9">
        <v>1</v>
      </c>
      <c r="E74" s="9">
        <v>0</v>
      </c>
      <c r="F74" s="9">
        <v>0</v>
      </c>
      <c r="G74" s="9">
        <v>1</v>
      </c>
      <c r="H74" s="9">
        <v>0</v>
      </c>
      <c r="I74" s="9">
        <v>0</v>
      </c>
      <c r="J74" s="9">
        <v>1</v>
      </c>
      <c r="K74" s="10" t="str">
        <f>F74/D74</f>
        <v>0</v>
      </c>
      <c r="L74" s="10" t="str">
        <f>G74/D74</f>
        <v>1</v>
      </c>
      <c r="M74" s="10" t="str">
        <f>H74/D74</f>
        <v>0</v>
      </c>
      <c r="N74" s="10" t="str">
        <f>I74/C74</f>
        <v>0</v>
      </c>
      <c r="O74" s="10" t="str">
        <f>J74/C74</f>
        <v>1</v>
      </c>
    </row>
    <row r="75">
      <c r="A75" s="5" t="s">
        <v>100</v>
      </c>
      <c r="B75" s="5" t="s">
        <v>36</v>
      </c>
      <c r="C75" s="9">
        <v>1</v>
      </c>
      <c r="D75" s="9">
        <v>1</v>
      </c>
      <c r="E75" s="9">
        <v>0</v>
      </c>
      <c r="F75" s="9">
        <v>0</v>
      </c>
      <c r="G75" s="9">
        <v>0</v>
      </c>
      <c r="H75" s="9">
        <v>1</v>
      </c>
      <c r="I75" s="9">
        <v>1</v>
      </c>
      <c r="J75" s="9">
        <v>0</v>
      </c>
      <c r="K75" s="10" t="str">
        <f>F75/D75</f>
        <v>0</v>
      </c>
      <c r="L75" s="10" t="str">
        <f>G75/D75</f>
        <v>0</v>
      </c>
      <c r="M75" s="10" t="str">
        <f>H75/D75</f>
        <v>1</v>
      </c>
      <c r="N75" s="10" t="str">
        <f>I75/C75</f>
        <v>1</v>
      </c>
      <c r="O75" s="10" t="str">
        <f>J75/C75</f>
        <v>0</v>
      </c>
    </row>
    <row r="76">
      <c r="A76" s="5" t="s">
        <v>101</v>
      </c>
      <c r="B76" s="5" t="s">
        <v>36</v>
      </c>
      <c r="C76" s="9">
        <v>1</v>
      </c>
      <c r="D76" s="9">
        <v>0</v>
      </c>
      <c r="E76" s="9">
        <v>1</v>
      </c>
      <c r="F76" s="9">
        <v>0</v>
      </c>
      <c r="G76" s="9">
        <v>0</v>
      </c>
      <c r="H76" s="9">
        <v>0</v>
      </c>
      <c r="I76" s="9">
        <v>0</v>
      </c>
      <c r="J76" s="9">
        <v>1</v>
      </c>
      <c r="K76" s="7" t="s">
        <v>49</v>
      </c>
      <c r="L76" s="7" t="s">
        <v>49</v>
      </c>
      <c r="M76" s="7" t="s">
        <v>49</v>
      </c>
      <c r="N76" s="10" t="str">
        <f>I76/C76</f>
        <v>0</v>
      </c>
      <c r="O76" s="10" t="str">
        <f>J76/C76</f>
        <v>1</v>
      </c>
    </row>
    <row r="77">
      <c r="A77" s="5" t="s">
        <v>102</v>
      </c>
      <c r="B77" s="5" t="s">
        <v>36</v>
      </c>
      <c r="C77" s="9">
        <v>1</v>
      </c>
      <c r="D77" s="9">
        <v>1</v>
      </c>
      <c r="E77" s="9">
        <v>0</v>
      </c>
      <c r="F77" s="9">
        <v>1</v>
      </c>
      <c r="G77" s="9">
        <v>0</v>
      </c>
      <c r="H77" s="9">
        <v>0</v>
      </c>
      <c r="I77" s="9">
        <v>0</v>
      </c>
      <c r="J77" s="9">
        <v>1</v>
      </c>
      <c r="K77" s="10" t="str">
        <f>F77/D77</f>
        <v>1</v>
      </c>
      <c r="L77" s="10" t="str">
        <f>G77/D77</f>
        <v>0</v>
      </c>
      <c r="M77" s="10" t="str">
        <f>H77/D77</f>
        <v>0</v>
      </c>
      <c r="N77" s="10" t="str">
        <f>I77/C77</f>
        <v>0</v>
      </c>
      <c r="O77" s="10" t="str">
        <f>J77/C77</f>
        <v>1</v>
      </c>
    </row>
    <row r="78">
      <c r="A78" s="5" t="s">
        <v>103</v>
      </c>
      <c r="B78" s="5" t="s">
        <v>36</v>
      </c>
      <c r="C78" s="9">
        <v>1</v>
      </c>
      <c r="D78" s="9">
        <v>1</v>
      </c>
      <c r="E78" s="9">
        <v>0</v>
      </c>
      <c r="F78" s="9">
        <v>0</v>
      </c>
      <c r="G78" s="9">
        <v>1</v>
      </c>
      <c r="H78" s="9">
        <v>0</v>
      </c>
      <c r="I78" s="9">
        <v>1</v>
      </c>
      <c r="J78" s="9">
        <v>0</v>
      </c>
      <c r="K78" s="10" t="str">
        <f>F78/D78</f>
        <v>0</v>
      </c>
      <c r="L78" s="10" t="str">
        <f>G78/D78</f>
        <v>1</v>
      </c>
      <c r="M78" s="10" t="str">
        <f>H78/D78</f>
        <v>0</v>
      </c>
      <c r="N78" s="10" t="str">
        <f>I78/C78</f>
        <v>1</v>
      </c>
      <c r="O78" s="10" t="str">
        <f>J78/C78</f>
        <v>0</v>
      </c>
    </row>
    <row r="79">
      <c r="A79" s="5" t="s">
        <v>104</v>
      </c>
      <c r="B79" s="5" t="s">
        <v>36</v>
      </c>
      <c r="C79" s="9">
        <v>1</v>
      </c>
      <c r="D79" s="9">
        <v>1</v>
      </c>
      <c r="E79" s="9">
        <v>0</v>
      </c>
      <c r="F79" s="9">
        <v>0</v>
      </c>
      <c r="G79" s="9">
        <v>0</v>
      </c>
      <c r="H79" s="9">
        <v>1</v>
      </c>
      <c r="I79" s="9">
        <v>0</v>
      </c>
      <c r="J79" s="9">
        <v>1</v>
      </c>
      <c r="K79" s="10" t="str">
        <f>F79/D79</f>
        <v>0</v>
      </c>
      <c r="L79" s="10" t="str">
        <f>G79/D79</f>
        <v>0</v>
      </c>
      <c r="M79" s="10" t="str">
        <f>H79/D79</f>
        <v>1</v>
      </c>
      <c r="N79" s="10" t="str">
        <f>I79/C79</f>
        <v>0</v>
      </c>
      <c r="O79" s="10" t="str">
        <f>J79/C79</f>
        <v>1</v>
      </c>
    </row>
    <row r="80">
      <c r="A80" s="5" t="s">
        <v>105</v>
      </c>
      <c r="B80" s="5" t="s">
        <v>36</v>
      </c>
      <c r="C80" s="9">
        <v>1</v>
      </c>
      <c r="D80" s="9">
        <v>0</v>
      </c>
      <c r="E80" s="9">
        <v>1</v>
      </c>
      <c r="F80" s="9">
        <v>0</v>
      </c>
      <c r="G80" s="9">
        <v>0</v>
      </c>
      <c r="H80" s="9">
        <v>0</v>
      </c>
      <c r="I80" s="9">
        <v>0</v>
      </c>
      <c r="J80" s="9">
        <v>1</v>
      </c>
      <c r="K80" s="7" t="s">
        <v>49</v>
      </c>
      <c r="L80" s="7" t="s">
        <v>49</v>
      </c>
      <c r="M80" s="7" t="s">
        <v>49</v>
      </c>
      <c r="N80" s="10" t="str">
        <f>I80/C80</f>
        <v>0</v>
      </c>
      <c r="O80" s="10" t="str">
        <f>J80/C80</f>
        <v>1</v>
      </c>
    </row>
    <row r="81">
      <c r="A81" s="5" t="s">
        <v>106</v>
      </c>
      <c r="B81" s="5" t="s">
        <v>36</v>
      </c>
      <c r="C81" s="9">
        <v>1</v>
      </c>
      <c r="D81" s="9">
        <v>1</v>
      </c>
      <c r="E81" s="9">
        <v>0</v>
      </c>
      <c r="F81" s="9">
        <v>1</v>
      </c>
      <c r="G81" s="9">
        <v>0</v>
      </c>
      <c r="H81" s="9">
        <v>0</v>
      </c>
      <c r="I81" s="9">
        <v>1</v>
      </c>
      <c r="J81" s="9">
        <v>0</v>
      </c>
      <c r="K81" s="10" t="str">
        <f>F81/D81</f>
        <v>1</v>
      </c>
      <c r="L81" s="10" t="str">
        <f>G81/D81</f>
        <v>0</v>
      </c>
      <c r="M81" s="10" t="str">
        <f>H81/D81</f>
        <v>0</v>
      </c>
      <c r="N81" s="10" t="str">
        <f>I81/C81</f>
        <v>1</v>
      </c>
      <c r="O81" s="10" t="str">
        <f>J81/C81</f>
        <v>0</v>
      </c>
    </row>
    <row r="82">
      <c r="A82" s="5" t="s">
        <v>107</v>
      </c>
      <c r="B82" s="5" t="s">
        <v>36</v>
      </c>
      <c r="C82" s="9">
        <v>1</v>
      </c>
      <c r="D82" s="9">
        <v>1</v>
      </c>
      <c r="E82" s="9">
        <v>0</v>
      </c>
      <c r="F82" s="9">
        <v>0</v>
      </c>
      <c r="G82" s="9">
        <v>1</v>
      </c>
      <c r="H82" s="9">
        <v>0</v>
      </c>
      <c r="I82" s="9">
        <v>0</v>
      </c>
      <c r="J82" s="9">
        <v>1</v>
      </c>
      <c r="K82" s="10" t="str">
        <f>F82/D82</f>
        <v>0</v>
      </c>
      <c r="L82" s="10" t="str">
        <f>G82/D82</f>
        <v>1</v>
      </c>
      <c r="M82" s="10" t="str">
        <f>H82/D82</f>
        <v>0</v>
      </c>
      <c r="N82" s="10" t="str">
        <f>I82/C82</f>
        <v>0</v>
      </c>
      <c r="O82" s="10" t="str">
        <f>J82/C82</f>
        <v>1</v>
      </c>
    </row>
    <row r="83">
      <c r="A83" s="5" t="s">
        <v>108</v>
      </c>
      <c r="B83" s="5" t="s">
        <v>36</v>
      </c>
      <c r="C83" s="9">
        <v>1</v>
      </c>
      <c r="D83" s="9">
        <v>1</v>
      </c>
      <c r="E83" s="9">
        <v>0</v>
      </c>
      <c r="F83" s="9">
        <v>0</v>
      </c>
      <c r="G83" s="9">
        <v>0</v>
      </c>
      <c r="H83" s="9">
        <v>1</v>
      </c>
      <c r="I83" s="9">
        <v>0</v>
      </c>
      <c r="J83" s="9">
        <v>1</v>
      </c>
      <c r="K83" s="10" t="str">
        <f>F83/D83</f>
        <v>0</v>
      </c>
      <c r="L83" s="10" t="str">
        <f>G83/D83</f>
        <v>0</v>
      </c>
      <c r="M83" s="10" t="str">
        <f>H83/D83</f>
        <v>1</v>
      </c>
      <c r="N83" s="10" t="str">
        <f>I83/C83</f>
        <v>0</v>
      </c>
      <c r="O83" s="10" t="str">
        <f>J83/C83</f>
        <v>1</v>
      </c>
    </row>
    <row r="84">
      <c r="A84" s="5" t="s">
        <v>109</v>
      </c>
      <c r="B84" s="5" t="s">
        <v>36</v>
      </c>
      <c r="C84" s="9">
        <v>1</v>
      </c>
      <c r="D84" s="9">
        <v>0</v>
      </c>
      <c r="E84" s="9">
        <v>1</v>
      </c>
      <c r="F84" s="9">
        <v>0</v>
      </c>
      <c r="G84" s="9">
        <v>0</v>
      </c>
      <c r="H84" s="9">
        <v>0</v>
      </c>
      <c r="I84" s="9">
        <v>1</v>
      </c>
      <c r="J84" s="9">
        <v>0</v>
      </c>
      <c r="K84" s="7" t="s">
        <v>49</v>
      </c>
      <c r="L84" s="7" t="s">
        <v>49</v>
      </c>
      <c r="M84" s="7" t="s">
        <v>49</v>
      </c>
      <c r="N84" s="10" t="str">
        <f>I84/C84</f>
        <v>1</v>
      </c>
      <c r="O84" s="10" t="str">
        <f>J84/C84</f>
        <v>0</v>
      </c>
    </row>
    <row r="85">
      <c r="A85" s="5" t="s">
        <v>110</v>
      </c>
      <c r="B85" s="5" t="s">
        <v>36</v>
      </c>
      <c r="C85" s="9">
        <v>1</v>
      </c>
      <c r="D85" s="9">
        <v>1</v>
      </c>
      <c r="E85" s="9">
        <v>0</v>
      </c>
      <c r="F85" s="9">
        <v>1</v>
      </c>
      <c r="G85" s="9">
        <v>0</v>
      </c>
      <c r="H85" s="9">
        <v>0</v>
      </c>
      <c r="I85" s="9">
        <v>0</v>
      </c>
      <c r="J85" s="9">
        <v>1</v>
      </c>
      <c r="K85" s="10" t="str">
        <f>F85/D85</f>
        <v>1</v>
      </c>
      <c r="L85" s="10" t="str">
        <f>G85/D85</f>
        <v>0</v>
      </c>
      <c r="M85" s="10" t="str">
        <f>H85/D85</f>
        <v>0</v>
      </c>
      <c r="N85" s="10" t="str">
        <f>I85/C85</f>
        <v>0</v>
      </c>
      <c r="O85" s="10" t="str">
        <f>J85/C85</f>
        <v>1</v>
      </c>
    </row>
    <row r="86">
      <c r="A86" s="5" t="s">
        <v>111</v>
      </c>
      <c r="B86" s="5" t="s">
        <v>36</v>
      </c>
      <c r="C86" s="9">
        <v>1</v>
      </c>
      <c r="D86" s="9">
        <v>1</v>
      </c>
      <c r="E86" s="9">
        <v>0</v>
      </c>
      <c r="F86" s="9">
        <v>0</v>
      </c>
      <c r="G86" s="9">
        <v>1</v>
      </c>
      <c r="H86" s="9">
        <v>0</v>
      </c>
      <c r="I86" s="9">
        <v>0</v>
      </c>
      <c r="J86" s="9">
        <v>1</v>
      </c>
      <c r="K86" s="10" t="str">
        <f>F86/D86</f>
        <v>0</v>
      </c>
      <c r="L86" s="10" t="str">
        <f>G86/D86</f>
        <v>1</v>
      </c>
      <c r="M86" s="10" t="str">
        <f>H86/D86</f>
        <v>0</v>
      </c>
      <c r="N86" s="10" t="str">
        <f>I86/C86</f>
        <v>0</v>
      </c>
      <c r="O86" s="10" t="str">
        <f>J86/C86</f>
        <v>1</v>
      </c>
    </row>
    <row r="87">
      <c r="A87" s="5" t="s">
        <v>112</v>
      </c>
      <c r="B87" s="5" t="s">
        <v>36</v>
      </c>
      <c r="C87" s="9">
        <v>1</v>
      </c>
      <c r="D87" s="9">
        <v>1</v>
      </c>
      <c r="E87" s="9">
        <v>0</v>
      </c>
      <c r="F87" s="9">
        <v>0</v>
      </c>
      <c r="G87" s="9">
        <v>0</v>
      </c>
      <c r="H87" s="9">
        <v>1</v>
      </c>
      <c r="I87" s="9">
        <v>1</v>
      </c>
      <c r="J87" s="9">
        <v>0</v>
      </c>
      <c r="K87" s="10" t="str">
        <f>F87/D87</f>
        <v>0</v>
      </c>
      <c r="L87" s="10" t="str">
        <f>G87/D87</f>
        <v>0</v>
      </c>
      <c r="M87" s="10" t="str">
        <f>H87/D87</f>
        <v>1</v>
      </c>
      <c r="N87" s="10" t="str">
        <f>I87/C87</f>
        <v>1</v>
      </c>
      <c r="O87" s="10" t="str">
        <f>J87/C87</f>
        <v>0</v>
      </c>
    </row>
    <row r="88">
      <c r="A88" s="5" t="s">
        <v>113</v>
      </c>
      <c r="B88" s="5" t="s">
        <v>36</v>
      </c>
      <c r="C88" s="9">
        <v>1</v>
      </c>
      <c r="D88" s="9">
        <v>0</v>
      </c>
      <c r="E88" s="9">
        <v>1</v>
      </c>
      <c r="F88" s="9">
        <v>0</v>
      </c>
      <c r="G88" s="9">
        <v>0</v>
      </c>
      <c r="H88" s="9">
        <v>0</v>
      </c>
      <c r="I88" s="9">
        <v>0</v>
      </c>
      <c r="J88" s="9">
        <v>1</v>
      </c>
      <c r="K88" s="7" t="s">
        <v>49</v>
      </c>
      <c r="L88" s="7" t="s">
        <v>49</v>
      </c>
      <c r="M88" s="7" t="s">
        <v>49</v>
      </c>
      <c r="N88" s="10" t="str">
        <f>I88/C88</f>
        <v>0</v>
      </c>
      <c r="O88" s="10" t="str">
        <f>J88/C88</f>
        <v>1</v>
      </c>
    </row>
    <row r="89">
      <c r="A89" s="5" t="s">
        <v>114</v>
      </c>
      <c r="B89" s="5" t="s">
        <v>36</v>
      </c>
      <c r="C89" s="9">
        <v>1</v>
      </c>
      <c r="D89" s="9">
        <v>1</v>
      </c>
      <c r="E89" s="9">
        <v>0</v>
      </c>
      <c r="F89" s="9">
        <v>1</v>
      </c>
      <c r="G89" s="9">
        <v>0</v>
      </c>
      <c r="H89" s="9">
        <v>0</v>
      </c>
      <c r="I89" s="9">
        <v>0</v>
      </c>
      <c r="J89" s="9">
        <v>1</v>
      </c>
      <c r="K89" s="10" t="str">
        <f>F89/D89</f>
        <v>1</v>
      </c>
      <c r="L89" s="10" t="str">
        <f>G89/D89</f>
        <v>0</v>
      </c>
      <c r="M89" s="10" t="str">
        <f>H89/D89</f>
        <v>0</v>
      </c>
      <c r="N89" s="10" t="str">
        <f>I89/C89</f>
        <v>0</v>
      </c>
      <c r="O89" s="10" t="str">
        <f>J89/C89</f>
        <v>1</v>
      </c>
    </row>
    <row r="90">
      <c r="A90" s="5" t="s">
        <v>115</v>
      </c>
      <c r="B90" s="5" t="s">
        <v>36</v>
      </c>
      <c r="C90" s="9">
        <v>1</v>
      </c>
      <c r="D90" s="9">
        <v>1</v>
      </c>
      <c r="E90" s="9">
        <v>0</v>
      </c>
      <c r="F90" s="9">
        <v>0</v>
      </c>
      <c r="G90" s="9">
        <v>1</v>
      </c>
      <c r="H90" s="9">
        <v>0</v>
      </c>
      <c r="I90" s="9">
        <v>1</v>
      </c>
      <c r="J90" s="9">
        <v>0</v>
      </c>
      <c r="K90" s="10" t="str">
        <f>F90/D90</f>
        <v>0</v>
      </c>
      <c r="L90" s="10" t="str">
        <f>G90/D90</f>
        <v>1</v>
      </c>
      <c r="M90" s="10" t="str">
        <f>H90/D90</f>
        <v>0</v>
      </c>
      <c r="N90" s="10" t="str">
        <f>I90/C90</f>
        <v>1</v>
      </c>
      <c r="O90" s="10" t="str">
        <f>J90/C90</f>
        <v>0</v>
      </c>
    </row>
    <row r="91">
      <c r="A91" s="5" t="s">
        <v>116</v>
      </c>
      <c r="B91" s="5" t="s">
        <v>36</v>
      </c>
      <c r="C91" s="9">
        <v>1</v>
      </c>
      <c r="D91" s="9">
        <v>1</v>
      </c>
      <c r="E91" s="9">
        <v>0</v>
      </c>
      <c r="F91" s="9">
        <v>0</v>
      </c>
      <c r="G91" s="9">
        <v>0</v>
      </c>
      <c r="H91" s="9">
        <v>1</v>
      </c>
      <c r="I91" s="9">
        <v>0</v>
      </c>
      <c r="J91" s="9">
        <v>1</v>
      </c>
      <c r="K91" s="10" t="str">
        <f>F91/D91</f>
        <v>0</v>
      </c>
      <c r="L91" s="10" t="str">
        <f>G91/D91</f>
        <v>0</v>
      </c>
      <c r="M91" s="10" t="str">
        <f>H91/D91</f>
        <v>1</v>
      </c>
      <c r="N91" s="10" t="str">
        <f>I91/C91</f>
        <v>0</v>
      </c>
      <c r="O91" s="10" t="str">
        <f>J91/C91</f>
        <v>1</v>
      </c>
    </row>
    <row r="92">
      <c r="A92" s="5" t="s">
        <v>117</v>
      </c>
      <c r="B92" s="5" t="s">
        <v>36</v>
      </c>
      <c r="C92" s="9">
        <v>1</v>
      </c>
      <c r="D92" s="9">
        <v>0</v>
      </c>
      <c r="E92" s="9">
        <v>1</v>
      </c>
      <c r="F92" s="9">
        <v>0</v>
      </c>
      <c r="G92" s="9">
        <v>0</v>
      </c>
      <c r="H92" s="9">
        <v>0</v>
      </c>
      <c r="I92" s="9">
        <v>0</v>
      </c>
      <c r="J92" s="9">
        <v>1</v>
      </c>
      <c r="K92" s="7" t="s">
        <v>49</v>
      </c>
      <c r="L92" s="7" t="s">
        <v>49</v>
      </c>
      <c r="M92" s="7" t="s">
        <v>49</v>
      </c>
      <c r="N92" s="10" t="str">
        <f>I92/C92</f>
        <v>0</v>
      </c>
      <c r="O92" s="10" t="str">
        <f>J92/C92</f>
        <v>1</v>
      </c>
    </row>
    <row r="93">
      <c r="A93" s="5" t="s">
        <v>118</v>
      </c>
      <c r="B93" s="5" t="s">
        <v>36</v>
      </c>
      <c r="C93" s="9">
        <v>1</v>
      </c>
      <c r="D93" s="9">
        <v>1</v>
      </c>
      <c r="E93" s="9">
        <v>0</v>
      </c>
      <c r="F93" s="9">
        <v>1</v>
      </c>
      <c r="G93" s="9">
        <v>0</v>
      </c>
      <c r="H93" s="9">
        <v>0</v>
      </c>
      <c r="I93" s="9">
        <v>1</v>
      </c>
      <c r="J93" s="9">
        <v>0</v>
      </c>
      <c r="K93" s="10" t="str">
        <f>F93/D93</f>
        <v>1</v>
      </c>
      <c r="L93" s="10" t="str">
        <f>G93/D93</f>
        <v>0</v>
      </c>
      <c r="M93" s="10" t="str">
        <f>H93/D93</f>
        <v>0</v>
      </c>
      <c r="N93" s="10" t="str">
        <f>I93/C93</f>
        <v>1</v>
      </c>
      <c r="O93" s="10" t="str">
        <f>J93/C93</f>
        <v>0</v>
      </c>
    </row>
    <row r="94">
      <c r="A94" s="5" t="s">
        <v>119</v>
      </c>
      <c r="B94" s="5" t="s">
        <v>36</v>
      </c>
      <c r="C94" s="9">
        <v>1</v>
      </c>
      <c r="D94" s="9">
        <v>1</v>
      </c>
      <c r="E94" s="9">
        <v>0</v>
      </c>
      <c r="F94" s="9">
        <v>0</v>
      </c>
      <c r="G94" s="9">
        <v>1</v>
      </c>
      <c r="H94" s="9">
        <v>0</v>
      </c>
      <c r="I94" s="9">
        <v>0</v>
      </c>
      <c r="J94" s="9">
        <v>1</v>
      </c>
      <c r="K94" s="10" t="str">
        <f>F94/D94</f>
        <v>0</v>
      </c>
      <c r="L94" s="10" t="str">
        <f>G94/D94</f>
        <v>1</v>
      </c>
      <c r="M94" s="10" t="str">
        <f>H94/D94</f>
        <v>0</v>
      </c>
      <c r="N94" s="10" t="str">
        <f>I94/C94</f>
        <v>0</v>
      </c>
      <c r="O94" s="10" t="str">
        <f>J94/C94</f>
        <v>1</v>
      </c>
    </row>
    <row r="95">
      <c r="A95" s="5" t="s">
        <v>120</v>
      </c>
      <c r="B95" s="5" t="s">
        <v>36</v>
      </c>
      <c r="C95" s="9">
        <v>1</v>
      </c>
      <c r="D95" s="9">
        <v>1</v>
      </c>
      <c r="E95" s="9">
        <v>0</v>
      </c>
      <c r="F95" s="9">
        <v>0</v>
      </c>
      <c r="G95" s="9">
        <v>0</v>
      </c>
      <c r="H95" s="9">
        <v>1</v>
      </c>
      <c r="I95" s="9">
        <v>0</v>
      </c>
      <c r="J95" s="9">
        <v>1</v>
      </c>
      <c r="K95" s="10" t="str">
        <f>F95/D95</f>
        <v>0</v>
      </c>
      <c r="L95" s="10" t="str">
        <f>G95/D95</f>
        <v>0</v>
      </c>
      <c r="M95" s="10" t="str">
        <f>H95/D95</f>
        <v>1</v>
      </c>
      <c r="N95" s="10" t="str">
        <f>I95/C95</f>
        <v>0</v>
      </c>
      <c r="O95" s="10" t="str">
        <f>J95/C95</f>
        <v>1</v>
      </c>
    </row>
    <row r="96">
      <c r="A96" s="5" t="s">
        <v>121</v>
      </c>
      <c r="B96" s="5" t="s">
        <v>36</v>
      </c>
      <c r="C96" s="9">
        <v>1</v>
      </c>
      <c r="D96" s="9">
        <v>0</v>
      </c>
      <c r="E96" s="9">
        <v>1</v>
      </c>
      <c r="F96" s="9">
        <v>0</v>
      </c>
      <c r="G96" s="9">
        <v>0</v>
      </c>
      <c r="H96" s="9">
        <v>0</v>
      </c>
      <c r="I96" s="9">
        <v>1</v>
      </c>
      <c r="J96" s="9">
        <v>0</v>
      </c>
      <c r="K96" s="7" t="s">
        <v>49</v>
      </c>
      <c r="L96" s="7" t="s">
        <v>49</v>
      </c>
      <c r="M96" s="7" t="s">
        <v>49</v>
      </c>
      <c r="N96" s="10" t="str">
        <f>I96/C96</f>
        <v>1</v>
      </c>
      <c r="O96" s="10" t="str">
        <f>J96/C96</f>
        <v>0</v>
      </c>
    </row>
    <row r="97">
      <c r="A97" s="5" t="s">
        <v>122</v>
      </c>
      <c r="B97" s="5" t="s">
        <v>36</v>
      </c>
      <c r="C97" s="9">
        <v>1</v>
      </c>
      <c r="D97" s="9">
        <v>1</v>
      </c>
      <c r="E97" s="9">
        <v>0</v>
      </c>
      <c r="F97" s="9">
        <v>1</v>
      </c>
      <c r="G97" s="9">
        <v>0</v>
      </c>
      <c r="H97" s="9">
        <v>0</v>
      </c>
      <c r="I97" s="9">
        <v>0</v>
      </c>
      <c r="J97" s="9">
        <v>1</v>
      </c>
      <c r="K97" s="10" t="str">
        <f>F97/D97</f>
        <v>1</v>
      </c>
      <c r="L97" s="10" t="str">
        <f>G97/D97</f>
        <v>0</v>
      </c>
      <c r="M97" s="10" t="str">
        <f>H97/D97</f>
        <v>0</v>
      </c>
      <c r="N97" s="10" t="str">
        <f>I97/C97</f>
        <v>0</v>
      </c>
      <c r="O97" s="10" t="str">
        <f>J97/C97</f>
        <v>1</v>
      </c>
    </row>
    <row r="98">
      <c r="A98" s="5" t="s">
        <v>123</v>
      </c>
      <c r="B98" s="5" t="s">
        <v>36</v>
      </c>
      <c r="C98" s="9">
        <v>1</v>
      </c>
      <c r="D98" s="9">
        <v>1</v>
      </c>
      <c r="E98" s="9">
        <v>0</v>
      </c>
      <c r="F98" s="9">
        <v>0</v>
      </c>
      <c r="G98" s="9">
        <v>1</v>
      </c>
      <c r="H98" s="9">
        <v>0</v>
      </c>
      <c r="I98" s="9">
        <v>0</v>
      </c>
      <c r="J98" s="9">
        <v>1</v>
      </c>
      <c r="K98" s="10" t="str">
        <f>F98/D98</f>
        <v>0</v>
      </c>
      <c r="L98" s="10" t="str">
        <f>G98/D98</f>
        <v>1</v>
      </c>
      <c r="M98" s="10" t="str">
        <f>H98/D98</f>
        <v>0</v>
      </c>
      <c r="N98" s="10" t="str">
        <f>I98/C98</f>
        <v>0</v>
      </c>
      <c r="O98" s="10" t="str">
        <f>J98/C98</f>
        <v>1</v>
      </c>
    </row>
    <row r="99">
      <c r="A99" s="5" t="s">
        <v>124</v>
      </c>
      <c r="B99" s="5" t="s">
        <v>36</v>
      </c>
      <c r="C99" s="9">
        <v>1</v>
      </c>
      <c r="D99" s="9">
        <v>1</v>
      </c>
      <c r="E99" s="9">
        <v>0</v>
      </c>
      <c r="F99" s="9">
        <v>0</v>
      </c>
      <c r="G99" s="9">
        <v>0</v>
      </c>
      <c r="H99" s="9">
        <v>1</v>
      </c>
      <c r="I99" s="9">
        <v>1</v>
      </c>
      <c r="J99" s="9">
        <v>0</v>
      </c>
      <c r="K99" s="10" t="str">
        <f>F99/D99</f>
        <v>0</v>
      </c>
      <c r="L99" s="10" t="str">
        <f>G99/D99</f>
        <v>0</v>
      </c>
      <c r="M99" s="10" t="str">
        <f>H99/D99</f>
        <v>1</v>
      </c>
      <c r="N99" s="10" t="str">
        <f>I99/C99</f>
        <v>1</v>
      </c>
      <c r="O99" s="10" t="str">
        <f>J99/C99</f>
        <v>0</v>
      </c>
    </row>
    <row r="100">
      <c r="A100" s="5" t="s">
        <v>125</v>
      </c>
      <c r="B100" s="5" t="s">
        <v>36</v>
      </c>
      <c r="C100" s="9">
        <v>1</v>
      </c>
      <c r="D100" s="9">
        <v>0</v>
      </c>
      <c r="E100" s="9">
        <v>1</v>
      </c>
      <c r="F100" s="9">
        <v>0</v>
      </c>
      <c r="G100" s="9">
        <v>0</v>
      </c>
      <c r="H100" s="9">
        <v>0</v>
      </c>
      <c r="I100" s="9">
        <v>0</v>
      </c>
      <c r="J100" s="9">
        <v>1</v>
      </c>
      <c r="K100" s="7" t="s">
        <v>49</v>
      </c>
      <c r="L100" s="7" t="s">
        <v>49</v>
      </c>
      <c r="M100" s="7" t="s">
        <v>49</v>
      </c>
      <c r="N100" s="10" t="str">
        <f>I100/C100</f>
        <v>0</v>
      </c>
      <c r="O100" s="10" t="str">
        <f>J100/C100</f>
        <v>1</v>
      </c>
    </row>
    <row r="101">
      <c r="A101" s="5" t="s">
        <v>126</v>
      </c>
      <c r="B101" s="5" t="s">
        <v>36</v>
      </c>
      <c r="C101" s="9">
        <v>1</v>
      </c>
      <c r="D101" s="9">
        <v>1</v>
      </c>
      <c r="E101" s="9">
        <v>0</v>
      </c>
      <c r="F101" s="9">
        <v>1</v>
      </c>
      <c r="G101" s="9">
        <v>0</v>
      </c>
      <c r="H101" s="9">
        <v>0</v>
      </c>
      <c r="I101" s="9">
        <v>0</v>
      </c>
      <c r="J101" s="9">
        <v>1</v>
      </c>
      <c r="K101" s="10" t="str">
        <f>F101/D101</f>
        <v>1</v>
      </c>
      <c r="L101" s="10" t="str">
        <f>G101/D101</f>
        <v>0</v>
      </c>
      <c r="M101" s="10" t="str">
        <f>H101/D101</f>
        <v>0</v>
      </c>
      <c r="N101" s="10" t="str">
        <f>I101/C101</f>
        <v>0</v>
      </c>
      <c r="O101" s="10" t="str">
        <f>J101/C101</f>
        <v>1</v>
      </c>
    </row>
    <row r="102">
      <c r="A102" s="5" t="s">
        <v>127</v>
      </c>
      <c r="B102" s="5" t="s">
        <v>36</v>
      </c>
      <c r="C102" s="9">
        <v>1</v>
      </c>
      <c r="D102" s="9">
        <v>1</v>
      </c>
      <c r="E102" s="9">
        <v>0</v>
      </c>
      <c r="F102" s="9">
        <v>0</v>
      </c>
      <c r="G102" s="9">
        <v>1</v>
      </c>
      <c r="H102" s="9">
        <v>0</v>
      </c>
      <c r="I102" s="9">
        <v>1</v>
      </c>
      <c r="J102" s="9">
        <v>0</v>
      </c>
      <c r="K102" s="10" t="str">
        <f>F102/D102</f>
        <v>0</v>
      </c>
      <c r="L102" s="10" t="str">
        <f>G102/D102</f>
        <v>1</v>
      </c>
      <c r="M102" s="10" t="str">
        <f>H102/D102</f>
        <v>0</v>
      </c>
      <c r="N102" s="10" t="str">
        <f>I102/C102</f>
        <v>1</v>
      </c>
      <c r="O102" s="10" t="str">
        <f>J102/C102</f>
        <v>0</v>
      </c>
    </row>
    <row r="103">
      <c r="A103" s="5" t="s">
        <v>128</v>
      </c>
      <c r="B103" s="5" t="s">
        <v>36</v>
      </c>
      <c r="C103" s="9">
        <v>1</v>
      </c>
      <c r="D103" s="9">
        <v>1</v>
      </c>
      <c r="E103" s="9">
        <v>0</v>
      </c>
      <c r="F103" s="9">
        <v>0</v>
      </c>
      <c r="G103" s="9">
        <v>0</v>
      </c>
      <c r="H103" s="9">
        <v>1</v>
      </c>
      <c r="I103" s="9">
        <v>0</v>
      </c>
      <c r="J103" s="9">
        <v>1</v>
      </c>
      <c r="K103" s="10" t="str">
        <f>F103/D103</f>
        <v>0</v>
      </c>
      <c r="L103" s="10" t="str">
        <f>G103/D103</f>
        <v>0</v>
      </c>
      <c r="M103" s="10" t="str">
        <f>H103/D103</f>
        <v>1</v>
      </c>
      <c r="N103" s="10" t="str">
        <f>I103/C103</f>
        <v>0</v>
      </c>
      <c r="O103" s="10" t="str">
        <f>J103/C103</f>
        <v>1</v>
      </c>
    </row>
    <row r="104">
      <c r="A104" s="5" t="s">
        <v>129</v>
      </c>
      <c r="B104" s="5" t="s">
        <v>36</v>
      </c>
      <c r="C104" s="9">
        <v>1</v>
      </c>
      <c r="D104" s="9">
        <v>0</v>
      </c>
      <c r="E104" s="9">
        <v>1</v>
      </c>
      <c r="F104" s="9">
        <v>0</v>
      </c>
      <c r="G104" s="9">
        <v>0</v>
      </c>
      <c r="H104" s="9">
        <v>0</v>
      </c>
      <c r="I104" s="9">
        <v>0</v>
      </c>
      <c r="J104" s="9">
        <v>1</v>
      </c>
      <c r="K104" s="7" t="s">
        <v>49</v>
      </c>
      <c r="L104" s="7" t="s">
        <v>49</v>
      </c>
      <c r="M104" s="7" t="s">
        <v>49</v>
      </c>
      <c r="N104" s="10" t="str">
        <f>I104/C104</f>
        <v>0</v>
      </c>
      <c r="O104" s="10" t="str">
        <f>J104/C104</f>
        <v>1</v>
      </c>
    </row>
    <row r="105">
      <c r="A105" s="5" t="s">
        <v>130</v>
      </c>
      <c r="B105" s="5" t="s">
        <v>36</v>
      </c>
      <c r="C105" s="9">
        <v>1</v>
      </c>
      <c r="D105" s="9">
        <v>1</v>
      </c>
      <c r="E105" s="9">
        <v>0</v>
      </c>
      <c r="F105" s="9">
        <v>1</v>
      </c>
      <c r="G105" s="9">
        <v>0</v>
      </c>
      <c r="H105" s="9">
        <v>0</v>
      </c>
      <c r="I105" s="9">
        <v>1</v>
      </c>
      <c r="J105" s="9">
        <v>0</v>
      </c>
      <c r="K105" s="10" t="str">
        <f>F105/D105</f>
        <v>1</v>
      </c>
      <c r="L105" s="10" t="str">
        <f>G105/D105</f>
        <v>0</v>
      </c>
      <c r="M105" s="10" t="str">
        <f>H105/D105</f>
        <v>0</v>
      </c>
      <c r="N105" s="10" t="str">
        <f>I105/C105</f>
        <v>1</v>
      </c>
      <c r="O105" s="10" t="str">
        <f>J105/C105</f>
        <v>0</v>
      </c>
    </row>
    <row r="107">
      <c r="A107" s="3" t="s">
        <v>131</v>
      </c>
    </row>
    <row r="108">
      <c r="A108" s="3" t="s">
        <v>132</v>
      </c>
    </row>
    <row r="109">
      <c r="A109" s="3" t="s">
        <v>133</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136</v>
      </c>
    </row>
    <row r="3">
      <c r="A3" s="8" t="s">
        <v>137</v>
      </c>
    </row>
    <row r="4">
      <c r="A4" s="3" t="s">
        <v>142</v>
      </c>
    </row>
    <row r="25">
      <c r="A25" s="8" t="s">
        <v>143</v>
      </c>
    </row>
    <row r="26">
      <c r="A26" s="3" t="s">
        <v>142</v>
      </c>
    </row>
    <row r="47">
      <c r="A47" s="8" t="s">
        <v>144</v>
      </c>
    </row>
    <row r="48">
      <c r="A48" s="3" t="s">
        <v>142</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134</v>
      </c>
    </row>
    <row r="2">
      <c r="A2" s="3" t="s">
        <v>135</v>
      </c>
    </row>
    <row r="4">
      <c r="A4" s="8" t="s">
        <v>137</v>
      </c>
    </row>
    <row r="5">
      <c r="A5" s="4" t="s">
        <v>3</v>
      </c>
      <c r="B5" s="4" t="s">
        <v>138</v>
      </c>
      <c r="C5" s="4" t="s">
        <v>139</v>
      </c>
      <c r="D5" s="4" t="s">
        <v>140</v>
      </c>
      <c r="E5" s="4" t="s">
        <v>141</v>
      </c>
    </row>
    <row r="6">
      <c r="A6" s="5" t="s">
        <v>20</v>
      </c>
      <c r="B6" s="10" t="str">
        <f>'통계표'!$K$6</f>
        <v>0.6551724137931034</v>
      </c>
      <c r="C6" s="10" t="str">
        <f>'통계표'!$L$6</f>
        <v>0.20689655172413793</v>
      </c>
      <c r="D6" s="10" t="str">
        <f>'통계표'!$M$6</f>
        <v>0.13793103448275862</v>
      </c>
      <c r="E6" s="9" t="str">
        <f>'통계표'!$C$6</f>
        <v>37</v>
      </c>
    </row>
    <row r="7">
      <c r="A7" s="5" t="s">
        <v>22</v>
      </c>
      <c r="B7" s="10" t="str">
        <f>'통계표'!$K$7</f>
        <v>0.6666666666666666</v>
      </c>
      <c r="C7" s="10" t="str">
        <f>'통계표'!$L$7</f>
        <v>0.1</v>
      </c>
      <c r="D7" s="10" t="str">
        <f>'통계표'!$M$7</f>
        <v>0.23333333333333334</v>
      </c>
      <c r="E7" s="9" t="str">
        <f>'통계표'!$C$7</f>
        <v>35</v>
      </c>
    </row>
    <row r="8">
      <c r="A8" s="5" t="s">
        <v>24</v>
      </c>
      <c r="B8" s="10" t="str">
        <f>'통계표'!$K$8</f>
        <v>0.7333333333333333</v>
      </c>
      <c r="C8" s="10" t="str">
        <f>'통계표'!$L$8</f>
        <v>0.03333333333333333</v>
      </c>
      <c r="D8" s="10" t="str">
        <f>'통계표'!$M$8</f>
        <v>0.23333333333333334</v>
      </c>
      <c r="E8" s="9" t="str">
        <f>'통계표'!$C$8</f>
        <v>34</v>
      </c>
    </row>
    <row r="9">
      <c r="A9" s="5" t="s">
        <v>26</v>
      </c>
      <c r="B9" s="10" t="str">
        <f>'통계표'!$K$9</f>
        <v>0.5</v>
      </c>
      <c r="C9" s="10" t="str">
        <f>'통계표'!$L$9</f>
        <v>0.20833333333333334</v>
      </c>
      <c r="D9" s="10" t="str">
        <f>'통계표'!$M$9</f>
        <v>0.2916666666666667</v>
      </c>
      <c r="E9" s="9" t="str">
        <f>'통계표'!$C$9</f>
        <v>27</v>
      </c>
    </row>
    <row r="10">
      <c r="A10" s="5" t="s">
        <v>27</v>
      </c>
      <c r="B10" s="10" t="str">
        <f>'통계표'!$K$10</f>
        <v>0.28</v>
      </c>
      <c r="C10" s="10" t="str">
        <f>'통계표'!$L$10</f>
        <v>0.24</v>
      </c>
      <c r="D10" s="10" t="str">
        <f>'통계표'!$M$10</f>
        <v>0.48</v>
      </c>
      <c r="E10" s="9" t="str">
        <f>'통계표'!$C$10</f>
        <v>27</v>
      </c>
    </row>
    <row r="11">
      <c r="A11" s="5" t="s">
        <v>29</v>
      </c>
      <c r="B11" s="10" t="str">
        <f>'통계표'!$K$11</f>
        <v>0.6470588235294118</v>
      </c>
      <c r="C11" s="10" t="str">
        <f>'통계표'!$L$11</f>
        <v>0.11764705882352941</v>
      </c>
      <c r="D11" s="10" t="str">
        <f>'통계표'!$M$11</f>
        <v>0.23529411764705882</v>
      </c>
      <c r="E11" s="9" t="str">
        <f>'통계표'!$C$11</f>
        <v>19</v>
      </c>
    </row>
    <row r="12">
      <c r="A12" s="5" t="s">
        <v>30</v>
      </c>
      <c r="B12" s="10" t="str">
        <f>'통계표'!$K$12</f>
        <v>0.5625</v>
      </c>
      <c r="C12" s="10" t="str">
        <f>'통계표'!$L$12</f>
        <v>0.125</v>
      </c>
      <c r="D12" s="10" t="str">
        <f>'통계표'!$M$12</f>
        <v>0.3125</v>
      </c>
      <c r="E12" s="9" t="str">
        <f>'통계표'!$C$12</f>
        <v>17</v>
      </c>
    </row>
    <row r="13">
      <c r="A13" s="5" t="s">
        <v>32</v>
      </c>
      <c r="B13" s="10" t="str">
        <f>'통계표'!$K$13</f>
        <v>0.5714285714285714</v>
      </c>
      <c r="C13" s="10" t="str">
        <f>'통계표'!$L$13</f>
        <v>0.07142857142857142</v>
      </c>
      <c r="D13" s="10" t="str">
        <f>'통계표'!$M$13</f>
        <v>0.35714285714285715</v>
      </c>
      <c r="E13" s="9" t="str">
        <f>'통계표'!$C$13</f>
        <v>17</v>
      </c>
    </row>
    <row r="14">
      <c r="A14" s="5" t="s">
        <v>34</v>
      </c>
      <c r="B14" s="10" t="str">
        <f>'통계표'!$K$14</f>
        <v>0.5714285714285714</v>
      </c>
      <c r="C14" s="10" t="str">
        <f>'통계표'!$L$14</f>
        <v>0.14285714285714285</v>
      </c>
      <c r="D14" s="10" t="str">
        <f>'통계표'!$M$14</f>
        <v>0.2857142857142857</v>
      </c>
      <c r="E14" s="9" t="str">
        <f>'통계표'!$C$14</f>
        <v>16</v>
      </c>
    </row>
    <row r="15">
      <c r="A15" s="5" t="s">
        <v>35</v>
      </c>
      <c r="B15" s="10" t="str">
        <f>'통계표'!$K$15</f>
        <v>0.5384615384615384</v>
      </c>
      <c r="C15" s="10" t="str">
        <f>'통계표'!$L$15</f>
        <v>0.23076923076923078</v>
      </c>
      <c r="D15" s="10" t="str">
        <f>'통계표'!$M$15</f>
        <v>0.23076923076923078</v>
      </c>
      <c r="E15" s="9" t="str">
        <f>'통계표'!$C$15</f>
        <v>15</v>
      </c>
    </row>
    <row r="16">
      <c r="A16" s="5" t="s">
        <v>37</v>
      </c>
      <c r="B16" s="10" t="str">
        <f>'통계표'!$K$16</f>
        <v>0.5714285714285714</v>
      </c>
      <c r="C16" s="10" t="str">
        <f>'통계표'!$L$16</f>
        <v>0.14285714285714285</v>
      </c>
      <c r="D16" s="10" t="str">
        <f>'통계표'!$M$16</f>
        <v>0.2857142857142857</v>
      </c>
      <c r="E16" s="9" t="str">
        <f>'통계표'!$C$16</f>
        <v>15</v>
      </c>
    </row>
    <row r="17">
      <c r="A17" s="5" t="s">
        <v>39</v>
      </c>
      <c r="B17" s="10" t="str">
        <f>'통계표'!$K$17</f>
        <v>0.6</v>
      </c>
      <c r="C17" s="10" t="str">
        <f>'통계표'!$L$17</f>
        <v>0.2</v>
      </c>
      <c r="D17" s="10" t="str">
        <f>'통계표'!$M$17</f>
        <v>0.2</v>
      </c>
      <c r="E17" s="9" t="str">
        <f>'통계표'!$C$17</f>
        <v>14</v>
      </c>
    </row>
    <row r="18">
      <c r="A18" s="5" t="s">
        <v>41</v>
      </c>
      <c r="B18" s="10" t="str">
        <f>'통계표'!$K$18</f>
        <v>0.8181818181818182</v>
      </c>
      <c r="C18" s="10" t="str">
        <f>'통계표'!$L$18</f>
        <v>0.09090909090909091</v>
      </c>
      <c r="D18" s="10" t="str">
        <f>'통계표'!$M$18</f>
        <v>0.09090909090909091</v>
      </c>
      <c r="E18" s="9" t="str">
        <f>'통계표'!$C$18</f>
        <v>14</v>
      </c>
    </row>
    <row r="19">
      <c r="A19" s="5" t="s">
        <v>43</v>
      </c>
      <c r="B19" s="10" t="str">
        <f>'통계표'!$K$19</f>
        <v>0.8333333333333334</v>
      </c>
      <c r="C19" s="10" t="str">
        <f>'통계표'!$L$19</f>
        <v>0</v>
      </c>
      <c r="D19" s="10" t="str">
        <f>'통계표'!$M$19</f>
        <v>0.16666666666666666</v>
      </c>
      <c r="E19" s="9" t="str">
        <f>'통계표'!$C$19</f>
        <v>6</v>
      </c>
    </row>
    <row r="20">
      <c r="A20" s="5" t="s">
        <v>44</v>
      </c>
      <c r="B20" s="10" t="str">
        <f>'통계표'!$K$20</f>
        <v>0.8</v>
      </c>
      <c r="C20" s="10" t="str">
        <f>'통계표'!$L$20</f>
        <v>0.2</v>
      </c>
      <c r="D20" s="10" t="str">
        <f>'통계표'!$M$20</f>
        <v>0</v>
      </c>
      <c r="E20" s="9" t="str">
        <f>'통계표'!$C$20</f>
        <v>5</v>
      </c>
    </row>
    <row r="21">
      <c r="A21" s="5" t="s">
        <v>45</v>
      </c>
      <c r="B21" s="10" t="str">
        <f>'통계표'!$K$21</f>
        <v>1</v>
      </c>
      <c r="C21" s="10" t="str">
        <f>'통계표'!$L$21</f>
        <v>0</v>
      </c>
      <c r="D21" s="10" t="str">
        <f>'통계표'!$M$21</f>
        <v>0</v>
      </c>
      <c r="E21" s="9" t="str">
        <f>'통계표'!$C$21</f>
        <v>1</v>
      </c>
    </row>
    <row r="22">
      <c r="A22" s="5" t="s">
        <v>46</v>
      </c>
      <c r="B22" s="10" t="str">
        <f>'통계표'!$K$22</f>
        <v>0</v>
      </c>
      <c r="C22" s="10" t="str">
        <f>'통계표'!$L$22</f>
        <v>1</v>
      </c>
      <c r="D22" s="10" t="str">
        <f>'통계표'!$M$22</f>
        <v>0</v>
      </c>
      <c r="E22" s="9" t="str">
        <f>'통계표'!$C$22</f>
        <v>1</v>
      </c>
    </row>
    <row r="23">
      <c r="A23" s="5" t="s">
        <v>47</v>
      </c>
      <c r="B23" s="10" t="str">
        <f>'통계표'!$K$23</f>
        <v>0</v>
      </c>
      <c r="C23" s="10" t="str">
        <f>'통계표'!$L$23</f>
        <v>0</v>
      </c>
      <c r="D23" s="10" t="str">
        <f>'통계표'!$M$23</f>
        <v>1</v>
      </c>
      <c r="E23" s="9" t="str">
        <f>'통계표'!$C$23</f>
        <v>1</v>
      </c>
    </row>
    <row r="24">
      <c r="A24" s="5" t="s">
        <v>48</v>
      </c>
      <c r="E24" s="9" t="str">
        <f>'통계표'!$C$24</f>
        <v>1</v>
      </c>
    </row>
    <row r="25">
      <c r="A25" s="5" t="s">
        <v>50</v>
      </c>
      <c r="B25" s="10" t="str">
        <f>'통계표'!$K$25</f>
        <v>1</v>
      </c>
      <c r="C25" s="10" t="str">
        <f>'통계표'!$L$25</f>
        <v>0</v>
      </c>
      <c r="D25" s="10" t="str">
        <f>'통계표'!$M$25</f>
        <v>0</v>
      </c>
      <c r="E25" s="9" t="str">
        <f>'통계표'!$C$25</f>
        <v>1</v>
      </c>
    </row>
    <row r="26">
      <c r="A26" s="5" t="s">
        <v>51</v>
      </c>
      <c r="B26" s="10" t="str">
        <f>'통계표'!$K$26</f>
        <v>0</v>
      </c>
      <c r="C26" s="10" t="str">
        <f>'통계표'!$L$26</f>
        <v>1</v>
      </c>
      <c r="D26" s="10" t="str">
        <f>'통계표'!$M$26</f>
        <v>0</v>
      </c>
      <c r="E26" s="9" t="str">
        <f>'통계표'!$C$26</f>
        <v>1</v>
      </c>
    </row>
    <row r="27">
      <c r="A27" s="5" t="s">
        <v>52</v>
      </c>
      <c r="B27" s="10" t="str">
        <f>'통계표'!$K$27</f>
        <v>0</v>
      </c>
      <c r="C27" s="10" t="str">
        <f>'통계표'!$L$27</f>
        <v>0</v>
      </c>
      <c r="D27" s="10" t="str">
        <f>'통계표'!$M$27</f>
        <v>1</v>
      </c>
      <c r="E27" s="9" t="str">
        <f>'통계표'!$C$27</f>
        <v>1</v>
      </c>
    </row>
    <row r="28">
      <c r="A28" s="5" t="s">
        <v>53</v>
      </c>
      <c r="E28" s="9" t="str">
        <f>'통계표'!$C$28</f>
        <v>1</v>
      </c>
    </row>
    <row r="29">
      <c r="A29" s="5" t="s">
        <v>54</v>
      </c>
      <c r="B29" s="10" t="str">
        <f>'통계표'!$K$29</f>
        <v>1</v>
      </c>
      <c r="C29" s="10" t="str">
        <f>'통계표'!$L$29</f>
        <v>0</v>
      </c>
      <c r="D29" s="10" t="str">
        <f>'통계표'!$M$29</f>
        <v>0</v>
      </c>
      <c r="E29" s="9" t="str">
        <f>'통계표'!$C$29</f>
        <v>1</v>
      </c>
    </row>
    <row r="30">
      <c r="A30" s="5" t="s">
        <v>55</v>
      </c>
      <c r="B30" s="10" t="str">
        <f>'통계표'!$K$30</f>
        <v>0</v>
      </c>
      <c r="C30" s="10" t="str">
        <f>'통계표'!$L$30</f>
        <v>1</v>
      </c>
      <c r="D30" s="10" t="str">
        <f>'통계표'!$M$30</f>
        <v>0</v>
      </c>
      <c r="E30" s="9" t="str">
        <f>'통계표'!$C$30</f>
        <v>1</v>
      </c>
    </row>
    <row r="31">
      <c r="A31" s="5" t="s">
        <v>56</v>
      </c>
      <c r="B31" s="10" t="str">
        <f>'통계표'!$K$31</f>
        <v>0</v>
      </c>
      <c r="C31" s="10" t="str">
        <f>'통계표'!$L$31</f>
        <v>0</v>
      </c>
      <c r="D31" s="10" t="str">
        <f>'통계표'!$M$31</f>
        <v>1</v>
      </c>
      <c r="E31" s="9" t="str">
        <f>'통계표'!$C$31</f>
        <v>1</v>
      </c>
    </row>
    <row r="32">
      <c r="A32" s="5" t="s">
        <v>57</v>
      </c>
      <c r="E32" s="9" t="str">
        <f>'통계표'!$C$32</f>
        <v>1</v>
      </c>
    </row>
    <row r="33">
      <c r="A33" s="5" t="s">
        <v>58</v>
      </c>
      <c r="B33" s="10" t="str">
        <f>'통계표'!$K$33</f>
        <v>1</v>
      </c>
      <c r="C33" s="10" t="str">
        <f>'통계표'!$L$33</f>
        <v>0</v>
      </c>
      <c r="D33" s="10" t="str">
        <f>'통계표'!$M$33</f>
        <v>0</v>
      </c>
      <c r="E33" s="9" t="str">
        <f>'통계표'!$C$33</f>
        <v>1</v>
      </c>
    </row>
    <row r="34">
      <c r="A34" s="5" t="s">
        <v>59</v>
      </c>
      <c r="B34" s="10" t="str">
        <f>'통계표'!$K$34</f>
        <v>0</v>
      </c>
      <c r="C34" s="10" t="str">
        <f>'통계표'!$L$34</f>
        <v>1</v>
      </c>
      <c r="D34" s="10" t="str">
        <f>'통계표'!$M$34</f>
        <v>0</v>
      </c>
      <c r="E34" s="9" t="str">
        <f>'통계표'!$C$34</f>
        <v>1</v>
      </c>
    </row>
    <row r="35">
      <c r="A35" s="5" t="s">
        <v>60</v>
      </c>
      <c r="B35" s="10" t="str">
        <f>'통계표'!$K$35</f>
        <v>0</v>
      </c>
      <c r="C35" s="10" t="str">
        <f>'통계표'!$L$35</f>
        <v>0</v>
      </c>
      <c r="D35" s="10" t="str">
        <f>'통계표'!$M$35</f>
        <v>1</v>
      </c>
      <c r="E35" s="9" t="str">
        <f>'통계표'!$C$35</f>
        <v>1</v>
      </c>
    </row>
    <row r="36">
      <c r="A36" s="5" t="s">
        <v>61</v>
      </c>
      <c r="E36" s="9" t="str">
        <f>'통계표'!$C$36</f>
        <v>1</v>
      </c>
    </row>
    <row r="37">
      <c r="A37" s="5" t="s">
        <v>62</v>
      </c>
      <c r="B37" s="10" t="str">
        <f>'통계표'!$K$37</f>
        <v>1</v>
      </c>
      <c r="C37" s="10" t="str">
        <f>'통계표'!$L$37</f>
        <v>0</v>
      </c>
      <c r="D37" s="10" t="str">
        <f>'통계표'!$M$37</f>
        <v>0</v>
      </c>
      <c r="E37" s="9" t="str">
        <f>'통계표'!$C$37</f>
        <v>1</v>
      </c>
    </row>
    <row r="38">
      <c r="A38" s="5" t="s">
        <v>63</v>
      </c>
      <c r="B38" s="10" t="str">
        <f>'통계표'!$K$38</f>
        <v>0</v>
      </c>
      <c r="C38" s="10" t="str">
        <f>'통계표'!$L$38</f>
        <v>1</v>
      </c>
      <c r="D38" s="10" t="str">
        <f>'통계표'!$M$38</f>
        <v>0</v>
      </c>
      <c r="E38" s="9" t="str">
        <f>'통계표'!$C$38</f>
        <v>1</v>
      </c>
    </row>
    <row r="39">
      <c r="A39" s="5" t="s">
        <v>64</v>
      </c>
      <c r="B39" s="10" t="str">
        <f>'통계표'!$K$39</f>
        <v>0</v>
      </c>
      <c r="C39" s="10" t="str">
        <f>'통계표'!$L$39</f>
        <v>0</v>
      </c>
      <c r="D39" s="10" t="str">
        <f>'통계표'!$M$39</f>
        <v>1</v>
      </c>
      <c r="E39" s="9" t="str">
        <f>'통계표'!$C$39</f>
        <v>1</v>
      </c>
    </row>
    <row r="40">
      <c r="A40" s="5" t="s">
        <v>65</v>
      </c>
      <c r="E40" s="9" t="str">
        <f>'통계표'!$C$40</f>
        <v>1</v>
      </c>
    </row>
    <row r="41">
      <c r="A41" s="5" t="s">
        <v>66</v>
      </c>
      <c r="B41" s="10" t="str">
        <f>'통계표'!$K$41</f>
        <v>1</v>
      </c>
      <c r="C41" s="10" t="str">
        <f>'통계표'!$L$41</f>
        <v>0</v>
      </c>
      <c r="D41" s="10" t="str">
        <f>'통계표'!$M$41</f>
        <v>0</v>
      </c>
      <c r="E41" s="9" t="str">
        <f>'통계표'!$C$41</f>
        <v>1</v>
      </c>
    </row>
    <row r="42">
      <c r="A42" s="5" t="s">
        <v>67</v>
      </c>
      <c r="B42" s="10" t="str">
        <f>'통계표'!$K$42</f>
        <v>0</v>
      </c>
      <c r="C42" s="10" t="str">
        <f>'통계표'!$L$42</f>
        <v>1</v>
      </c>
      <c r="D42" s="10" t="str">
        <f>'통계표'!$M$42</f>
        <v>0</v>
      </c>
      <c r="E42" s="9" t="str">
        <f>'통계표'!$C$42</f>
        <v>1</v>
      </c>
    </row>
    <row r="43">
      <c r="A43" s="5" t="s">
        <v>68</v>
      </c>
      <c r="B43" s="10" t="str">
        <f>'통계표'!$K$43</f>
        <v>0</v>
      </c>
      <c r="C43" s="10" t="str">
        <f>'통계표'!$L$43</f>
        <v>0</v>
      </c>
      <c r="D43" s="10" t="str">
        <f>'통계표'!$M$43</f>
        <v>1</v>
      </c>
      <c r="E43" s="9" t="str">
        <f>'통계표'!$C$43</f>
        <v>1</v>
      </c>
    </row>
    <row r="44">
      <c r="A44" s="5" t="s">
        <v>69</v>
      </c>
      <c r="E44" s="9" t="str">
        <f>'통계표'!$C$44</f>
        <v>1</v>
      </c>
    </row>
    <row r="45">
      <c r="A45" s="5" t="s">
        <v>70</v>
      </c>
      <c r="B45" s="10" t="str">
        <f>'통계표'!$K$45</f>
        <v>1</v>
      </c>
      <c r="C45" s="10" t="str">
        <f>'통계표'!$L$45</f>
        <v>0</v>
      </c>
      <c r="D45" s="10" t="str">
        <f>'통계표'!$M$45</f>
        <v>0</v>
      </c>
      <c r="E45" s="9" t="str">
        <f>'통계표'!$C$45</f>
        <v>1</v>
      </c>
    </row>
    <row r="47">
      <c r="A47" s="8" t="s">
        <v>143</v>
      </c>
    </row>
    <row r="48">
      <c r="A48" s="4" t="s">
        <v>3</v>
      </c>
      <c r="B48" s="4" t="s">
        <v>138</v>
      </c>
      <c r="C48" s="4" t="s">
        <v>139</v>
      </c>
      <c r="D48" s="4" t="s">
        <v>140</v>
      </c>
      <c r="E48" s="4" t="s">
        <v>141</v>
      </c>
    </row>
    <row r="49">
      <c r="A49" s="5" t="s">
        <v>71</v>
      </c>
      <c r="B49" s="10" t="str">
        <f>'통계표'!$K$46</f>
        <v>0</v>
      </c>
      <c r="C49" s="10" t="str">
        <f>'통계표'!$L$46</f>
        <v>1</v>
      </c>
      <c r="D49" s="10" t="str">
        <f>'통계표'!$M$46</f>
        <v>0</v>
      </c>
      <c r="E49" s="9" t="str">
        <f>'통계표'!$C$46</f>
        <v>1</v>
      </c>
    </row>
    <row r="50">
      <c r="A50" s="5" t="s">
        <v>72</v>
      </c>
      <c r="B50" s="10" t="str">
        <f>'통계표'!$K$47</f>
        <v>0</v>
      </c>
      <c r="C50" s="10" t="str">
        <f>'통계표'!$L$47</f>
        <v>0</v>
      </c>
      <c r="D50" s="10" t="str">
        <f>'통계표'!$M$47</f>
        <v>1</v>
      </c>
      <c r="E50" s="9" t="str">
        <f>'통계표'!$C$47</f>
        <v>1</v>
      </c>
    </row>
    <row r="51">
      <c r="A51" s="5" t="s">
        <v>73</v>
      </c>
      <c r="E51" s="9" t="str">
        <f>'통계표'!$C$48</f>
        <v>1</v>
      </c>
    </row>
    <row r="52">
      <c r="A52" s="5" t="s">
        <v>74</v>
      </c>
      <c r="B52" s="10" t="str">
        <f>'통계표'!$K$49</f>
        <v>1</v>
      </c>
      <c r="C52" s="10" t="str">
        <f>'통계표'!$L$49</f>
        <v>0</v>
      </c>
      <c r="D52" s="10" t="str">
        <f>'통계표'!$M$49</f>
        <v>0</v>
      </c>
      <c r="E52" s="9" t="str">
        <f>'통계표'!$C$49</f>
        <v>1</v>
      </c>
    </row>
    <row r="53">
      <c r="A53" s="5" t="s">
        <v>75</v>
      </c>
      <c r="B53" s="10" t="str">
        <f>'통계표'!$K$50</f>
        <v>0</v>
      </c>
      <c r="C53" s="10" t="str">
        <f>'통계표'!$L$50</f>
        <v>1</v>
      </c>
      <c r="D53" s="10" t="str">
        <f>'통계표'!$M$50</f>
        <v>0</v>
      </c>
      <c r="E53" s="9" t="str">
        <f>'통계표'!$C$50</f>
        <v>1</v>
      </c>
    </row>
    <row r="54">
      <c r="A54" s="5" t="s">
        <v>76</v>
      </c>
      <c r="B54" s="10" t="str">
        <f>'통계표'!$K$51</f>
        <v>0</v>
      </c>
      <c r="C54" s="10" t="str">
        <f>'통계표'!$L$51</f>
        <v>0</v>
      </c>
      <c r="D54" s="10" t="str">
        <f>'통계표'!$M$51</f>
        <v>1</v>
      </c>
      <c r="E54" s="9" t="str">
        <f>'통계표'!$C$51</f>
        <v>1</v>
      </c>
    </row>
    <row r="55">
      <c r="A55" s="5" t="s">
        <v>77</v>
      </c>
      <c r="E55" s="9" t="str">
        <f>'통계표'!$C$52</f>
        <v>1</v>
      </c>
    </row>
    <row r="56">
      <c r="A56" s="5" t="s">
        <v>78</v>
      </c>
      <c r="B56" s="10" t="str">
        <f>'통계표'!$K$53</f>
        <v>1</v>
      </c>
      <c r="C56" s="10" t="str">
        <f>'통계표'!$L$53</f>
        <v>0</v>
      </c>
      <c r="D56" s="10" t="str">
        <f>'통계표'!$M$53</f>
        <v>0</v>
      </c>
      <c r="E56" s="9" t="str">
        <f>'통계표'!$C$53</f>
        <v>1</v>
      </c>
    </row>
    <row r="57">
      <c r="A57" s="5" t="s">
        <v>79</v>
      </c>
      <c r="B57" s="10" t="str">
        <f>'통계표'!$K$54</f>
        <v>0</v>
      </c>
      <c r="C57" s="10" t="str">
        <f>'통계표'!$L$54</f>
        <v>1</v>
      </c>
      <c r="D57" s="10" t="str">
        <f>'통계표'!$M$54</f>
        <v>0</v>
      </c>
      <c r="E57" s="9" t="str">
        <f>'통계표'!$C$54</f>
        <v>1</v>
      </c>
    </row>
    <row r="58">
      <c r="A58" s="5" t="s">
        <v>80</v>
      </c>
      <c r="B58" s="10" t="str">
        <f>'통계표'!$K$55</f>
        <v>0</v>
      </c>
      <c r="C58" s="10" t="str">
        <f>'통계표'!$L$55</f>
        <v>0</v>
      </c>
      <c r="D58" s="10" t="str">
        <f>'통계표'!$M$55</f>
        <v>1</v>
      </c>
      <c r="E58" s="9" t="str">
        <f>'통계표'!$C$55</f>
        <v>1</v>
      </c>
    </row>
    <row r="59">
      <c r="A59" s="5" t="s">
        <v>81</v>
      </c>
      <c r="E59" s="9" t="str">
        <f>'통계표'!$C$56</f>
        <v>1</v>
      </c>
    </row>
    <row r="60">
      <c r="A60" s="5" t="s">
        <v>82</v>
      </c>
      <c r="B60" s="10" t="str">
        <f>'통계표'!$K$57</f>
        <v>1</v>
      </c>
      <c r="C60" s="10" t="str">
        <f>'통계표'!$L$57</f>
        <v>0</v>
      </c>
      <c r="D60" s="10" t="str">
        <f>'통계표'!$M$57</f>
        <v>0</v>
      </c>
      <c r="E60" s="9" t="str">
        <f>'통계표'!$C$57</f>
        <v>1</v>
      </c>
    </row>
    <row r="61">
      <c r="A61" s="5" t="s">
        <v>83</v>
      </c>
      <c r="B61" s="10" t="str">
        <f>'통계표'!$K$58</f>
        <v>0</v>
      </c>
      <c r="C61" s="10" t="str">
        <f>'통계표'!$L$58</f>
        <v>1</v>
      </c>
      <c r="D61" s="10" t="str">
        <f>'통계표'!$M$58</f>
        <v>0</v>
      </c>
      <c r="E61" s="9" t="str">
        <f>'통계표'!$C$58</f>
        <v>1</v>
      </c>
    </row>
    <row r="62">
      <c r="A62" s="5" t="s">
        <v>84</v>
      </c>
      <c r="B62" s="10" t="str">
        <f>'통계표'!$K$59</f>
        <v>0</v>
      </c>
      <c r="C62" s="10" t="str">
        <f>'통계표'!$L$59</f>
        <v>0</v>
      </c>
      <c r="D62" s="10" t="str">
        <f>'통계표'!$M$59</f>
        <v>1</v>
      </c>
      <c r="E62" s="9" t="str">
        <f>'통계표'!$C$59</f>
        <v>1</v>
      </c>
    </row>
    <row r="63">
      <c r="A63" s="5" t="s">
        <v>85</v>
      </c>
      <c r="E63" s="9" t="str">
        <f>'통계표'!$C$60</f>
        <v>1</v>
      </c>
    </row>
    <row r="64">
      <c r="A64" s="5" t="s">
        <v>86</v>
      </c>
      <c r="B64" s="10" t="str">
        <f>'통계표'!$K$61</f>
        <v>1</v>
      </c>
      <c r="C64" s="10" t="str">
        <f>'통계표'!$L$61</f>
        <v>0</v>
      </c>
      <c r="D64" s="10" t="str">
        <f>'통계표'!$M$61</f>
        <v>0</v>
      </c>
      <c r="E64" s="9" t="str">
        <f>'통계표'!$C$61</f>
        <v>1</v>
      </c>
    </row>
    <row r="65">
      <c r="A65" s="5" t="s">
        <v>87</v>
      </c>
      <c r="B65" s="10" t="str">
        <f>'통계표'!$K$62</f>
        <v>0</v>
      </c>
      <c r="C65" s="10" t="str">
        <f>'통계표'!$L$62</f>
        <v>1</v>
      </c>
      <c r="D65" s="10" t="str">
        <f>'통계표'!$M$62</f>
        <v>0</v>
      </c>
      <c r="E65" s="9" t="str">
        <f>'통계표'!$C$62</f>
        <v>1</v>
      </c>
    </row>
    <row r="66">
      <c r="A66" s="5" t="s">
        <v>88</v>
      </c>
      <c r="B66" s="10" t="str">
        <f>'통계표'!$K$63</f>
        <v>0</v>
      </c>
      <c r="C66" s="10" t="str">
        <f>'통계표'!$L$63</f>
        <v>0</v>
      </c>
      <c r="D66" s="10" t="str">
        <f>'통계표'!$M$63</f>
        <v>1</v>
      </c>
      <c r="E66" s="9" t="str">
        <f>'통계표'!$C$63</f>
        <v>1</v>
      </c>
    </row>
    <row r="67">
      <c r="A67" s="5" t="s">
        <v>89</v>
      </c>
      <c r="E67" s="9" t="str">
        <f>'통계표'!$C$64</f>
        <v>1</v>
      </c>
    </row>
    <row r="68">
      <c r="A68" s="5" t="s">
        <v>90</v>
      </c>
      <c r="B68" s="10" t="str">
        <f>'통계표'!$K$65</f>
        <v>1</v>
      </c>
      <c r="C68" s="10" t="str">
        <f>'통계표'!$L$65</f>
        <v>0</v>
      </c>
      <c r="D68" s="10" t="str">
        <f>'통계표'!$M$65</f>
        <v>0</v>
      </c>
      <c r="E68" s="9" t="str">
        <f>'통계표'!$C$65</f>
        <v>1</v>
      </c>
    </row>
    <row r="69">
      <c r="A69" s="5" t="s">
        <v>91</v>
      </c>
      <c r="B69" s="10" t="str">
        <f>'통계표'!$K$66</f>
        <v>0</v>
      </c>
      <c r="C69" s="10" t="str">
        <f>'통계표'!$L$66</f>
        <v>1</v>
      </c>
      <c r="D69" s="10" t="str">
        <f>'통계표'!$M$66</f>
        <v>0</v>
      </c>
      <c r="E69" s="9" t="str">
        <f>'통계표'!$C$66</f>
        <v>1</v>
      </c>
    </row>
    <row r="70">
      <c r="A70" s="5" t="s">
        <v>92</v>
      </c>
      <c r="B70" s="10" t="str">
        <f>'통계표'!$K$67</f>
        <v>0</v>
      </c>
      <c r="C70" s="10" t="str">
        <f>'통계표'!$L$67</f>
        <v>0</v>
      </c>
      <c r="D70" s="10" t="str">
        <f>'통계표'!$M$67</f>
        <v>1</v>
      </c>
      <c r="E70" s="9" t="str">
        <f>'통계표'!$C$67</f>
        <v>1</v>
      </c>
    </row>
    <row r="71">
      <c r="A71" s="5" t="s">
        <v>93</v>
      </c>
      <c r="E71" s="9" t="str">
        <f>'통계표'!$C$68</f>
        <v>1</v>
      </c>
    </row>
    <row r="72">
      <c r="A72" s="5" t="s">
        <v>94</v>
      </c>
      <c r="B72" s="10" t="str">
        <f>'통계표'!$K$69</f>
        <v>1</v>
      </c>
      <c r="C72" s="10" t="str">
        <f>'통계표'!$L$69</f>
        <v>0</v>
      </c>
      <c r="D72" s="10" t="str">
        <f>'통계표'!$M$69</f>
        <v>0</v>
      </c>
      <c r="E72" s="9" t="str">
        <f>'통계표'!$C$69</f>
        <v>1</v>
      </c>
    </row>
    <row r="73">
      <c r="A73" s="5" t="s">
        <v>95</v>
      </c>
      <c r="B73" s="10" t="str">
        <f>'통계표'!$K$70</f>
        <v>0</v>
      </c>
      <c r="C73" s="10" t="str">
        <f>'통계표'!$L$70</f>
        <v>1</v>
      </c>
      <c r="D73" s="10" t="str">
        <f>'통계표'!$M$70</f>
        <v>0</v>
      </c>
      <c r="E73" s="9" t="str">
        <f>'통계표'!$C$70</f>
        <v>1</v>
      </c>
    </row>
    <row r="74">
      <c r="A74" s="5" t="s">
        <v>96</v>
      </c>
      <c r="B74" s="10" t="str">
        <f>'통계표'!$K$71</f>
        <v>0</v>
      </c>
      <c r="C74" s="10" t="str">
        <f>'통계표'!$L$71</f>
        <v>0</v>
      </c>
      <c r="D74" s="10" t="str">
        <f>'통계표'!$M$71</f>
        <v>1</v>
      </c>
      <c r="E74" s="9" t="str">
        <f>'통계표'!$C$71</f>
        <v>1</v>
      </c>
    </row>
    <row r="75">
      <c r="A75" s="5" t="s">
        <v>97</v>
      </c>
      <c r="E75" s="9" t="str">
        <f>'통계표'!$C$72</f>
        <v>1</v>
      </c>
    </row>
    <row r="76">
      <c r="A76" s="5" t="s">
        <v>98</v>
      </c>
      <c r="B76" s="10" t="str">
        <f>'통계표'!$K$73</f>
        <v>1</v>
      </c>
      <c r="C76" s="10" t="str">
        <f>'통계표'!$L$73</f>
        <v>0</v>
      </c>
      <c r="D76" s="10" t="str">
        <f>'통계표'!$M$73</f>
        <v>0</v>
      </c>
      <c r="E76" s="9" t="str">
        <f>'통계표'!$C$73</f>
        <v>1</v>
      </c>
    </row>
    <row r="77">
      <c r="A77" s="5" t="s">
        <v>99</v>
      </c>
      <c r="B77" s="10" t="str">
        <f>'통계표'!$K$74</f>
        <v>0</v>
      </c>
      <c r="C77" s="10" t="str">
        <f>'통계표'!$L$74</f>
        <v>1</v>
      </c>
      <c r="D77" s="10" t="str">
        <f>'통계표'!$M$74</f>
        <v>0</v>
      </c>
      <c r="E77" s="9" t="str">
        <f>'통계표'!$C$74</f>
        <v>1</v>
      </c>
    </row>
    <row r="78">
      <c r="A78" s="5" t="s">
        <v>100</v>
      </c>
      <c r="B78" s="10" t="str">
        <f>'통계표'!$K$75</f>
        <v>0</v>
      </c>
      <c r="C78" s="10" t="str">
        <f>'통계표'!$L$75</f>
        <v>0</v>
      </c>
      <c r="D78" s="10" t="str">
        <f>'통계표'!$M$75</f>
        <v>1</v>
      </c>
      <c r="E78" s="9" t="str">
        <f>'통계표'!$C$75</f>
        <v>1</v>
      </c>
    </row>
    <row r="79">
      <c r="A79" s="5" t="s">
        <v>101</v>
      </c>
      <c r="E79" s="9" t="str">
        <f>'통계표'!$C$76</f>
        <v>1</v>
      </c>
    </row>
    <row r="80">
      <c r="A80" s="5" t="s">
        <v>102</v>
      </c>
      <c r="B80" s="10" t="str">
        <f>'통계표'!$K$77</f>
        <v>1</v>
      </c>
      <c r="C80" s="10" t="str">
        <f>'통계표'!$L$77</f>
        <v>0</v>
      </c>
      <c r="D80" s="10" t="str">
        <f>'통계표'!$M$77</f>
        <v>0</v>
      </c>
      <c r="E80" s="9" t="str">
        <f>'통계표'!$C$77</f>
        <v>1</v>
      </c>
    </row>
    <row r="81">
      <c r="A81" s="5" t="s">
        <v>103</v>
      </c>
      <c r="B81" s="10" t="str">
        <f>'통계표'!$K$78</f>
        <v>0</v>
      </c>
      <c r="C81" s="10" t="str">
        <f>'통계표'!$L$78</f>
        <v>1</v>
      </c>
      <c r="D81" s="10" t="str">
        <f>'통계표'!$M$78</f>
        <v>0</v>
      </c>
      <c r="E81" s="9" t="str">
        <f>'통계표'!$C$78</f>
        <v>1</v>
      </c>
    </row>
    <row r="82">
      <c r="A82" s="5" t="s">
        <v>104</v>
      </c>
      <c r="B82" s="10" t="str">
        <f>'통계표'!$K$79</f>
        <v>0</v>
      </c>
      <c r="C82" s="10" t="str">
        <f>'통계표'!$L$79</f>
        <v>0</v>
      </c>
      <c r="D82" s="10" t="str">
        <f>'통계표'!$M$79</f>
        <v>1</v>
      </c>
      <c r="E82" s="9" t="str">
        <f>'통계표'!$C$79</f>
        <v>1</v>
      </c>
    </row>
    <row r="83">
      <c r="A83" s="5" t="s">
        <v>105</v>
      </c>
      <c r="E83" s="9" t="str">
        <f>'통계표'!$C$80</f>
        <v>1</v>
      </c>
    </row>
    <row r="84">
      <c r="A84" s="5" t="s">
        <v>106</v>
      </c>
      <c r="B84" s="10" t="str">
        <f>'통계표'!$K$81</f>
        <v>1</v>
      </c>
      <c r="C84" s="10" t="str">
        <f>'통계표'!$L$81</f>
        <v>0</v>
      </c>
      <c r="D84" s="10" t="str">
        <f>'통계표'!$M$81</f>
        <v>0</v>
      </c>
      <c r="E84" s="9" t="str">
        <f>'통계표'!$C$81</f>
        <v>1</v>
      </c>
    </row>
    <row r="85">
      <c r="A85" s="5" t="s">
        <v>107</v>
      </c>
      <c r="B85" s="10" t="str">
        <f>'통계표'!$K$82</f>
        <v>0</v>
      </c>
      <c r="C85" s="10" t="str">
        <f>'통계표'!$L$82</f>
        <v>1</v>
      </c>
      <c r="D85" s="10" t="str">
        <f>'통계표'!$M$82</f>
        <v>0</v>
      </c>
      <c r="E85" s="9" t="str">
        <f>'통계표'!$C$82</f>
        <v>1</v>
      </c>
    </row>
    <row r="86">
      <c r="A86" s="5" t="s">
        <v>108</v>
      </c>
      <c r="B86" s="10" t="str">
        <f>'통계표'!$K$83</f>
        <v>0</v>
      </c>
      <c r="C86" s="10" t="str">
        <f>'통계표'!$L$83</f>
        <v>0</v>
      </c>
      <c r="D86" s="10" t="str">
        <f>'통계표'!$M$83</f>
        <v>1</v>
      </c>
      <c r="E86" s="9" t="str">
        <f>'통계표'!$C$83</f>
        <v>1</v>
      </c>
    </row>
    <row r="87">
      <c r="A87" s="5" t="s">
        <v>109</v>
      </c>
      <c r="E87" s="9" t="str">
        <f>'통계표'!$C$84</f>
        <v>1</v>
      </c>
    </row>
    <row r="88">
      <c r="A88" s="5" t="s">
        <v>110</v>
      </c>
      <c r="B88" s="10" t="str">
        <f>'통계표'!$K$85</f>
        <v>1</v>
      </c>
      <c r="C88" s="10" t="str">
        <f>'통계표'!$L$85</f>
        <v>0</v>
      </c>
      <c r="D88" s="10" t="str">
        <f>'통계표'!$M$85</f>
        <v>0</v>
      </c>
      <c r="E88" s="9" t="str">
        <f>'통계표'!$C$85</f>
        <v>1</v>
      </c>
    </row>
    <row r="90">
      <c r="A90" s="8" t="s">
        <v>144</v>
      </c>
    </row>
    <row r="91">
      <c r="A91" s="4" t="s">
        <v>3</v>
      </c>
      <c r="B91" s="4" t="s">
        <v>138</v>
      </c>
      <c r="C91" s="4" t="s">
        <v>139</v>
      </c>
      <c r="D91" s="4" t="s">
        <v>140</v>
      </c>
      <c r="E91" s="4" t="s">
        <v>141</v>
      </c>
    </row>
    <row r="92">
      <c r="A92" s="5" t="s">
        <v>111</v>
      </c>
      <c r="B92" s="10" t="str">
        <f>'통계표'!$K$86</f>
        <v>0</v>
      </c>
      <c r="C92" s="10" t="str">
        <f>'통계표'!$L$86</f>
        <v>1</v>
      </c>
      <c r="D92" s="10" t="str">
        <f>'통계표'!$M$86</f>
        <v>0</v>
      </c>
      <c r="E92" s="9" t="str">
        <f>'통계표'!$C$86</f>
        <v>1</v>
      </c>
    </row>
    <row r="93">
      <c r="A93" s="5" t="s">
        <v>112</v>
      </c>
      <c r="B93" s="10" t="str">
        <f>'통계표'!$K$87</f>
        <v>0</v>
      </c>
      <c r="C93" s="10" t="str">
        <f>'통계표'!$L$87</f>
        <v>0</v>
      </c>
      <c r="D93" s="10" t="str">
        <f>'통계표'!$M$87</f>
        <v>1</v>
      </c>
      <c r="E93" s="9" t="str">
        <f>'통계표'!$C$87</f>
        <v>1</v>
      </c>
    </row>
    <row r="94">
      <c r="A94" s="5" t="s">
        <v>113</v>
      </c>
      <c r="E94" s="9" t="str">
        <f>'통계표'!$C$88</f>
        <v>1</v>
      </c>
    </row>
    <row r="95">
      <c r="A95" s="5" t="s">
        <v>114</v>
      </c>
      <c r="B95" s="10" t="str">
        <f>'통계표'!$K$89</f>
        <v>1</v>
      </c>
      <c r="C95" s="10" t="str">
        <f>'통계표'!$L$89</f>
        <v>0</v>
      </c>
      <c r="D95" s="10" t="str">
        <f>'통계표'!$M$89</f>
        <v>0</v>
      </c>
      <c r="E95" s="9" t="str">
        <f>'통계표'!$C$89</f>
        <v>1</v>
      </c>
    </row>
    <row r="96">
      <c r="A96" s="5" t="s">
        <v>115</v>
      </c>
      <c r="B96" s="10" t="str">
        <f>'통계표'!$K$90</f>
        <v>0</v>
      </c>
      <c r="C96" s="10" t="str">
        <f>'통계표'!$L$90</f>
        <v>1</v>
      </c>
      <c r="D96" s="10" t="str">
        <f>'통계표'!$M$90</f>
        <v>0</v>
      </c>
      <c r="E96" s="9" t="str">
        <f>'통계표'!$C$90</f>
        <v>1</v>
      </c>
    </row>
    <row r="97">
      <c r="A97" s="5" t="s">
        <v>116</v>
      </c>
      <c r="B97" s="10" t="str">
        <f>'통계표'!$K$91</f>
        <v>0</v>
      </c>
      <c r="C97" s="10" t="str">
        <f>'통계표'!$L$91</f>
        <v>0</v>
      </c>
      <c r="D97" s="10" t="str">
        <f>'통계표'!$M$91</f>
        <v>1</v>
      </c>
      <c r="E97" s="9" t="str">
        <f>'통계표'!$C$91</f>
        <v>1</v>
      </c>
    </row>
    <row r="98">
      <c r="A98" s="5" t="s">
        <v>117</v>
      </c>
      <c r="E98" s="9" t="str">
        <f>'통계표'!$C$92</f>
        <v>1</v>
      </c>
    </row>
    <row r="99">
      <c r="A99" s="5" t="s">
        <v>118</v>
      </c>
      <c r="B99" s="10" t="str">
        <f>'통계표'!$K$93</f>
        <v>1</v>
      </c>
      <c r="C99" s="10" t="str">
        <f>'통계표'!$L$93</f>
        <v>0</v>
      </c>
      <c r="D99" s="10" t="str">
        <f>'통계표'!$M$93</f>
        <v>0</v>
      </c>
      <c r="E99" s="9" t="str">
        <f>'통계표'!$C$93</f>
        <v>1</v>
      </c>
    </row>
    <row r="100">
      <c r="A100" s="5" t="s">
        <v>119</v>
      </c>
      <c r="B100" s="10" t="str">
        <f>'통계표'!$K$94</f>
        <v>0</v>
      </c>
      <c r="C100" s="10" t="str">
        <f>'통계표'!$L$94</f>
        <v>1</v>
      </c>
      <c r="D100" s="10" t="str">
        <f>'통계표'!$M$94</f>
        <v>0</v>
      </c>
      <c r="E100" s="9" t="str">
        <f>'통계표'!$C$94</f>
        <v>1</v>
      </c>
    </row>
    <row r="101">
      <c r="A101" s="5" t="s">
        <v>120</v>
      </c>
      <c r="B101" s="10" t="str">
        <f>'통계표'!$K$95</f>
        <v>0</v>
      </c>
      <c r="C101" s="10" t="str">
        <f>'통계표'!$L$95</f>
        <v>0</v>
      </c>
      <c r="D101" s="10" t="str">
        <f>'통계표'!$M$95</f>
        <v>1</v>
      </c>
      <c r="E101" s="9" t="str">
        <f>'통계표'!$C$95</f>
        <v>1</v>
      </c>
    </row>
    <row r="102">
      <c r="A102" s="5" t="s">
        <v>121</v>
      </c>
      <c r="E102" s="9" t="str">
        <f>'통계표'!$C$96</f>
        <v>1</v>
      </c>
    </row>
    <row r="103">
      <c r="A103" s="5" t="s">
        <v>122</v>
      </c>
      <c r="B103" s="10" t="str">
        <f>'통계표'!$K$97</f>
        <v>1</v>
      </c>
      <c r="C103" s="10" t="str">
        <f>'통계표'!$L$97</f>
        <v>0</v>
      </c>
      <c r="D103" s="10" t="str">
        <f>'통계표'!$M$97</f>
        <v>0</v>
      </c>
      <c r="E103" s="9" t="str">
        <f>'통계표'!$C$97</f>
        <v>1</v>
      </c>
    </row>
    <row r="104">
      <c r="A104" s="5" t="s">
        <v>123</v>
      </c>
      <c r="B104" s="10" t="str">
        <f>'통계표'!$K$98</f>
        <v>0</v>
      </c>
      <c r="C104" s="10" t="str">
        <f>'통계표'!$L$98</f>
        <v>1</v>
      </c>
      <c r="D104" s="10" t="str">
        <f>'통계표'!$M$98</f>
        <v>0</v>
      </c>
      <c r="E104" s="9" t="str">
        <f>'통계표'!$C$98</f>
        <v>1</v>
      </c>
    </row>
    <row r="105">
      <c r="A105" s="5" t="s">
        <v>124</v>
      </c>
      <c r="B105" s="10" t="str">
        <f>'통계표'!$K$99</f>
        <v>0</v>
      </c>
      <c r="C105" s="10" t="str">
        <f>'통계표'!$L$99</f>
        <v>0</v>
      </c>
      <c r="D105" s="10" t="str">
        <f>'통계표'!$M$99</f>
        <v>1</v>
      </c>
      <c r="E105" s="9" t="str">
        <f>'통계표'!$C$99</f>
        <v>1</v>
      </c>
    </row>
    <row r="106">
      <c r="A106" s="5" t="s">
        <v>125</v>
      </c>
      <c r="E106" s="9" t="str">
        <f>'통계표'!$C$100</f>
        <v>1</v>
      </c>
    </row>
    <row r="107">
      <c r="A107" s="5" t="s">
        <v>126</v>
      </c>
      <c r="B107" s="10" t="str">
        <f>'통계표'!$K$101</f>
        <v>1</v>
      </c>
      <c r="C107" s="10" t="str">
        <f>'통계표'!$L$101</f>
        <v>0</v>
      </c>
      <c r="D107" s="10" t="str">
        <f>'통계표'!$M$101</f>
        <v>0</v>
      </c>
      <c r="E107" s="9" t="str">
        <f>'통계표'!$C$101</f>
        <v>1</v>
      </c>
    </row>
    <row r="108">
      <c r="A108" s="5" t="s">
        <v>127</v>
      </c>
      <c r="B108" s="10" t="str">
        <f>'통계표'!$K$102</f>
        <v>0</v>
      </c>
      <c r="C108" s="10" t="str">
        <f>'통계표'!$L$102</f>
        <v>1</v>
      </c>
      <c r="D108" s="10" t="str">
        <f>'통계표'!$M$102</f>
        <v>0</v>
      </c>
      <c r="E108" s="9" t="str">
        <f>'통계표'!$C$102</f>
        <v>1</v>
      </c>
    </row>
    <row r="109">
      <c r="A109" s="5" t="s">
        <v>128</v>
      </c>
      <c r="B109" s="10" t="str">
        <f>'통계표'!$K$103</f>
        <v>0</v>
      </c>
      <c r="C109" s="10" t="str">
        <f>'통계표'!$L$103</f>
        <v>0</v>
      </c>
      <c r="D109" s="10" t="str">
        <f>'통계표'!$M$103</f>
        <v>1</v>
      </c>
      <c r="E109" s="9" t="str">
        <f>'통계표'!$C$103</f>
        <v>1</v>
      </c>
    </row>
    <row r="110">
      <c r="A110" s="5" t="s">
        <v>129</v>
      </c>
      <c r="E110" s="9" t="str">
        <f>'통계표'!$C$104</f>
        <v>1</v>
      </c>
    </row>
    <row r="111">
      <c r="A111" s="5" t="s">
        <v>130</v>
      </c>
      <c r="B111" s="10" t="str">
        <f>'통계표'!$K$105</f>
        <v>1</v>
      </c>
      <c r="C111" s="10" t="str">
        <f>'통계표'!$L$105</f>
        <v>0</v>
      </c>
      <c r="D111" s="10" t="str">
        <f>'통계표'!$M$105</f>
        <v>0</v>
      </c>
      <c r="E111" s="9" t="str">
        <f>'통계표'!$C$105</f>
        <v>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145</v>
      </c>
    </row>
    <row r="3">
      <c r="A3" s="8" t="s">
        <v>146</v>
      </c>
      <c r="B3" s="2" t="s">
        <v>147</v>
      </c>
    </row>
    <row r="4">
      <c r="A4" s="8" t="s">
        <v>148</v>
      </c>
      <c r="B4" s="2" t="s">
        <v>149</v>
      </c>
    </row>
    <row r="5">
      <c r="A5" s="8" t="s">
        <v>150</v>
      </c>
      <c r="B5" s="2" t="s">
        <v>151</v>
      </c>
    </row>
    <row r="6">
      <c r="A6" s="8" t="s">
        <v>152</v>
      </c>
      <c r="B6" s="2" t="s">
        <v>153</v>
      </c>
    </row>
    <row r="7">
      <c r="A7" s="8" t="s">
        <v>148</v>
      </c>
      <c r="B7" s="2" t="s">
        <v>149</v>
      </c>
    </row>
    <row r="8">
      <c r="A8" s="8" t="s">
        <v>154</v>
      </c>
      <c r="B8" s="2" t="s">
        <v>155</v>
      </c>
    </row>
    <row r="9">
      <c r="A9" s="8" t="s">
        <v>3</v>
      </c>
      <c r="B9" s="2" t="s">
        <v>156</v>
      </c>
    </row>
    <row r="10">
      <c r="A10" s="8" t="s">
        <v>157</v>
      </c>
      <c r="B10" s="2" t="s">
        <v>158</v>
      </c>
    </row>
    <row r="11">
      <c r="A11" s="8" t="s">
        <v>159</v>
      </c>
      <c r="B11" s="2" t="s">
        <v>160</v>
      </c>
    </row>
    <row r="12">
      <c r="A12" s="8" t="s">
        <v>161</v>
      </c>
      <c r="B12" s="2" t="s">
        <v>162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이 범위의 담당자별 처리 현황</dc:title>
  <dc:creator>커뮤니티 신고 지도</dc:creator>
  <lastModifiedBy/>
  <dcterms:created xsi:type="dcterms:W3CDTF">2026-10-03T15:35:08.158Z</dcterms:created>
  <dcterms:modified xsi:type="dcterms:W3CDTF">2026-10-03T15:35:08.158Z</dcterms:modified>
</coreProperties>
</file>
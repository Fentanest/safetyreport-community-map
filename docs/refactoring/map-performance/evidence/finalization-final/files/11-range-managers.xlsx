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emz" ContentType="image/x-emz"/>
  <Default Extension="wmz" ContentType="image/x-wmz"/>
  <Default Extension="ico" ContentType="image/x-ico"/>
  <Default Extension="jpeg" ContentType="image/jpeg"/>
  <Default Extension="png" ContentType="image/png"/>
  <Default Extension="bmp" ContentType="image/bmp"/>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<sst xmlns="http://schemas.openxmlformats.org/spreadsheetml/2006/main" count="163" uniqueCount="163">
  <si>
    <t>이 범위의 담당자별 처리 현황</t>
  </si>
  <si>
    <t>2026-10-04 00:24:50 (한국 시간)에 내려받은 결과입니다. 조건은 ‘조회 조건’ 시트에 있습니다.</t>
  </si>
  <si>
    <t/>
  </si>
  <si>
    <t>담당자</t>
  </si>
  <si>
    <t>소속 기관</t>
  </si>
  <si>
    <t>건수</t>
  </si>
  <si>
    <t>건수 · 답변</t>
  </si>
  <si>
    <t>건수 · 분류된 답변</t>
  </si>
  <si>
    <t>건수 · 미분류</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</si>
  <si>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</si>
  <si>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</si>
  <si>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</si>
  <si>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</si>
  <si>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</si>
  <si>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</si>
  <si>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</si>
  <si>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</si>
  <si>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</si>
  <si>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</si>
  <si>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</si>
  <si>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김하늘 (서울중부경찰서)</t>
  </si>
  <si>
    <t>예시 서울중부경찰서</t>
  </si>
  <si>
    <t>정하은</t>
  </si>
  <si>
    <t>예시 수원시청</t>
  </si>
  <si>
    <t>이서윤</t>
  </si>
  <si>
    <t>예시 강남구청</t>
  </si>
  <si>
    <t>박도윤</t>
  </si>
  <si>
    <t>강지호</t>
  </si>
  <si>
    <t>예시 인천남동경찰서</t>
  </si>
  <si>
    <t>최민준</t>
  </si>
  <si>
    <t>윤서아</t>
  </si>
  <si>
    <t>예시 대전서구청</t>
  </si>
  <si>
    <t>서지안</t>
  </si>
  <si>
    <t>예시 부산연제경찰서</t>
  </si>
  <si>
    <t>김하늘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</si>
  <si>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</si>
  <si>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</si>
  <si>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</si>
  <si>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</si>
  <si>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</si>
  <si>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</si>
  <si>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</si>
  <si>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</si>
  <si>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</si>
  <si>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</si>
  <si>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</si>
  <si>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</si>
  <si>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</si>
  <si>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</si>
  <si>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계산 불가</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</si>
  <si>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</si>
  <si>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</si>
  <si>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</si>
  <si>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</si>
  <si>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</si>
  <si>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</si>
  <si>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</si>
  <si>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</si>
  <si>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</si>
  <si>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</si>
  <si>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</si>
  <si>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</si>
  <si>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</si>
  <si>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</si>
  <si>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</si>
  <si>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</si>
  <si>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</si>
  <si>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</si>
  <si>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</si>
  <si>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</si>
  <si>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</si>
  <si>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</si>
  <si>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</si>
  <si>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</si>
  <si>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</si>
  <si>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</si>
  <si>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</si>
  <si>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</si>
  <si>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</si>
  <si>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</si>
  <si>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</si>
  <si>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</si>
  <si>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</si>
  <si>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</si>
  <si>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</si>
  <si>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</si>
  <si>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</si>
  <si>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</si>
  <si>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</si>
  <si>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</si>
  <si>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</si>
  <si>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</si>
  <si>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</si>
  <si>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</si>
  <si>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</si>
  <si>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</si>
  <si>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</si>
  <si>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</si>
  <si>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</si>
  <si>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</si>
  <si>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</si>
  <si>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</si>
  <si>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</si>
  <si>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</si>
  <si>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</si>
  <si>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</si>
  <si>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</si>
  <si>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</si>
  <si>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</si>
  <si>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</si>
  <si>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</si>
  <si>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</si>
  <si>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</si>
  <si>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</si>
  <si>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</si>
  <si>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</si>
  <si>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</si>
  <si>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</si>
  <si>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</si>
  <si>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</si>
  <si>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</si>
  <si>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</si>
  <si>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</si>
  <si>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</si>
  <si>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</si>
  <si>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</si>
  <si>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</si>
  <si>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</si>
  <si>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</si>
  <si>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</si>
  <si>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</si>
  <si>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비율은 같은 줄의 ‘해당 건수 ÷ 기준 건수’ 수식입니다.</t>
  </si>
  <si>
    <t>같은 이름의 담당자는 담당자 칸에 소속 기관을 짧게 붙였습니다.</t>
  </si>
  <si>
    <t>전체 담당자 125명 중 화면에 불러온 100명만 담았습니다.</t>
  </si>
  <si>
    <t>차트 데이터</t>
  </si>
  <si>
    <t>차트가 그리는 숫자입니다. ‘통계표’ 시트에서 가져옵니다.</t>
  </si>
  <si>
    <t>이 범위의 담당자별 처리 현황 · 차트</t>
  </si>
  <si>
    <t>담당자별 수용률 (1–40 / 100)</t>
  </si>
  <si>
    <t>수용</t>
  </si>
  <si>
    <t>일부수용</t>
  </si>
  <si>
    <t>불수용</t>
  </si>
  <si>
    <t>답변 완료(건, 오른쪽 축)</t>
  </si>
  <si>
    <t>선은 답변 완료 건수(오른쪽 축)입니다. 담당자가 많아 40명씩 나눠 그렸습니다.</t>
  </si>
  <si>
    <t>담당자별 수용률 (41–80 / 100)</t>
  </si>
  <si>
    <t>담당자별 수용률 (81–100 / 100)</t>
  </si>
  <si>
    <t>이 범위의 담당자별 처리 현황 · 조회 조건</t>
  </si>
  <si>
    <t>내려받은 시각</t>
  </si>
  <si>
    <t>2026-10-04 00:24:50 (한국 시간)</t>
  </si>
  <si>
    <t>자료 버전</t>
  </si>
  <si>
    <t>e2e-synthetic-1</t>
  </si>
  <si>
    <t>날짜 기준</t>
  </si>
  <si>
    <t>답변일</t>
  </si>
  <si>
    <t>기간</t>
  </si>
  <si>
    <t>2025-10-05 — 2026-10-04 · 일부 기간: 첫 달은 2025.10.05부터, 마지막 달은 2026.10.04까지</t>
  </si>
  <si>
    <t>대상 범위</t>
  </si>
  <si>
    <t>전국 · 모든 분류</t>
  </si>
  <si>
    <t>불러온 100명 (전체 125명)</t>
  </si>
  <si>
    <t>막대 기준</t>
  </si>
  <si>
    <t>수용률 ((수용+일부수용+불수용)를 100%로)</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</si>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</sst>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37</v>
      </c>
      <c r="D6" s="9">
        <v>29</v>
      </c>
      <c r="E6" s="9">
        <v>8</v>
      </c>
      <c r="F6" s="9">
        <v>19</v>
      </c>
      <c r="G6" s="9">
        <v>6</v>
      </c>
      <c r="H6" s="9">
        <v>4</v>
      </c>
      <c r="I6" s="9">
        <v>12</v>
      </c>
      <c r="J6" s="9">
        <v>25</v>
      </c>
      <c r="K6" s="10" t="str">
        <f>F6/D6</f>
        <v>0.6551724137931034</v>
      </c>
      <c r="L6" s="10" t="str">
        <f>G6/D6</f>
        <v>0.20689655172413793</v>
      </c>
      <c r="M6" s="10" t="str">
        <f>H6/D6</f>
        <v>0.13793103448275862</v>
      </c>
      <c r="N6" s="10" t="str">
        <f>I6/C6</f>
        <v>0.32432432432432434</v>
      </c>
      <c r="O6" s="10" t="str">
        <f>J6/C6</f>
        <v>0.6756756756756757</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17</v>
      </c>
      <c r="D12" s="9">
        <v>16</v>
      </c>
      <c r="E12" s="9">
        <v>1</v>
      </c>
      <c r="F12" s="9">
        <v>9</v>
      </c>
      <c r="G12" s="9">
        <v>2</v>
      </c>
      <c r="H12" s="9">
        <v>5</v>
      </c>
      <c r="I12" s="9">
        <v>5</v>
      </c>
      <c r="J12" s="9">
        <v>12</v>
      </c>
      <c r="K12" s="10" t="str">
        <f>F12/D12</f>
        <v>0.5625</v>
      </c>
      <c r="L12" s="10" t="str">
        <f>G12/D12</f>
        <v>0.125</v>
      </c>
      <c r="M12" s="10" t="str">
        <f>H12/D12</f>
        <v>0.3125</v>
      </c>
      <c r="N12" s="10" t="str">
        <f>I12/C12</f>
        <v>0.29411764705882354</v>
      </c>
      <c r="O12" s="10" t="str">
        <f>J12/C12</f>
        <v>0.7058823529411765</v>
      </c>
    </row>
    <row r="13">
      <c r="A13" s="5" t="s">
        <v>32</v>
      </c>
      <c r="B13" s="5" t="s">
        <v>33</v>
      </c>
      <c r="C13" s="9">
        <v>17</v>
      </c>
      <c r="D13" s="9">
        <v>14</v>
      </c>
      <c r="E13" s="9">
        <v>3</v>
      </c>
      <c r="F13" s="9">
        <v>8</v>
      </c>
      <c r="G13" s="9">
        <v>1</v>
      </c>
      <c r="H13" s="9">
        <v>5</v>
      </c>
      <c r="I13" s="9">
        <v>2</v>
      </c>
      <c r="J13" s="9">
        <v>15</v>
      </c>
      <c r="K13" s="10" t="str">
        <f>F13/D13</f>
        <v>0.5714285714285714</v>
      </c>
      <c r="L13" s="10" t="str">
        <f>G13/D13</f>
        <v>0.07142857142857142</v>
      </c>
      <c r="M13" s="10" t="str">
        <f>H13/D13</f>
        <v>0.35714285714285715</v>
      </c>
      <c r="N13" s="10" t="str">
        <f>I13/C13</f>
        <v>0.11764705882352941</v>
      </c>
      <c r="O13" s="10" t="str">
        <f>J13/C13</f>
        <v>0.8823529411764706</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row r="109">
      <c r="A109" s="3" t="s">
        <v>133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136</v>
      </c>
    </row>
    <row r="3">
      <c r="A3" s="8" t="s">
        <v>137</v>
      </c>
    </row>
    <row r="4">
      <c r="A4" s="3" t="s">
        <v>142</v>
      </c>
    </row>
    <row r="25">
      <c r="A25" s="8" t="s">
        <v>143</v>
      </c>
    </row>
    <row r="26">
      <c r="A26" s="3" t="s">
        <v>142</v>
      </c>
    </row>
    <row r="47">
      <c r="A47" s="8" t="s">
        <v>144</v>
      </c>
    </row>
    <row r="48">
      <c r="A48" s="3" t="s">
        <v>142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134</v>
      </c>
    </row>
    <row r="2">
      <c r="A2" s="3" t="s">
        <v>135</v>
      </c>
    </row>
    <row r="4">
      <c r="A4" s="8" t="s">
        <v>137</v>
      </c>
    </row>
    <row r="5">
      <c r="A5" s="4" t="s">
        <v>3</v>
      </c>
      <c r="B5" s="4" t="s">
        <v>138</v>
      </c>
      <c r="C5" s="4" t="s">
        <v>139</v>
      </c>
      <c r="D5" s="4" t="s">
        <v>140</v>
      </c>
      <c r="E5" s="4" t="s">
        <v>141</v>
      </c>
    </row>
    <row r="6">
      <c r="A6" s="5" t="s">
        <v>20</v>
      </c>
      <c r="B6" s="10" t="str">
        <f>'통계표'!$K$6</f>
        <v>0.6551724137931034</v>
      </c>
      <c r="C6" s="10" t="str">
        <f>'통계표'!$L$6</f>
        <v>0.20689655172413793</v>
      </c>
      <c r="D6" s="10" t="str">
        <f>'통계표'!$M$6</f>
        <v>0.13793103448275862</v>
      </c>
      <c r="E6" s="9" t="str">
        <f>'통계표'!$C$6</f>
        <v>37</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0.5625</v>
      </c>
      <c r="C12" s="10" t="str">
        <f>'통계표'!$L$12</f>
        <v>0.125</v>
      </c>
      <c r="D12" s="10" t="str">
        <f>'통계표'!$M$12</f>
        <v>0.3125</v>
      </c>
      <c r="E12" s="9" t="str">
        <f>'통계표'!$C$12</f>
        <v>17</v>
      </c>
    </row>
    <row r="13">
      <c r="A13" s="5" t="s">
        <v>32</v>
      </c>
      <c r="B13" s="10" t="str">
        <f>'통계표'!$K$13</f>
        <v>0.5714285714285714</v>
      </c>
      <c r="C13" s="10" t="str">
        <f>'통계표'!$L$13</f>
        <v>0.07142857142857142</v>
      </c>
      <c r="D13" s="10" t="str">
        <f>'통계표'!$M$13</f>
        <v>0.35714285714285715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143</v>
      </c>
    </row>
    <row r="48">
      <c r="A48" s="4" t="s">
        <v>3</v>
      </c>
      <c r="B48" s="4" t="s">
        <v>138</v>
      </c>
      <c r="C48" s="4" t="s">
        <v>139</v>
      </c>
      <c r="D48" s="4" t="s">
        <v>140</v>
      </c>
      <c r="E48" s="4" t="s">
        <v>141</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144</v>
      </c>
    </row>
    <row r="91">
      <c r="A91" s="4" t="s">
        <v>3</v>
      </c>
      <c r="B91" s="4" t="s">
        <v>138</v>
      </c>
      <c r="C91" s="4" t="s">
        <v>139</v>
      </c>
      <c r="D91" s="4" t="s">
        <v>140</v>
      </c>
      <c r="E91" s="4" t="s">
        <v>141</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145</v>
      </c>
    </row>
    <row r="3">
      <c r="A3" s="8" t="s">
        <v>146</v>
      </c>
      <c r="B3" s="2" t="s">
        <v>147</v>
      </c>
    </row>
    <row r="4">
      <c r="A4" s="8" t="s">
        <v>148</v>
      </c>
      <c r="B4" s="2" t="s">
        <v>149</v>
      </c>
    </row>
    <row r="5">
      <c r="A5" s="8" t="s">
        <v>150</v>
      </c>
      <c r="B5" s="2" t="s">
        <v>151</v>
      </c>
    </row>
    <row r="6">
      <c r="A6" s="8" t="s">
        <v>152</v>
      </c>
      <c r="B6" s="2" t="s">
        <v>153</v>
      </c>
    </row>
    <row r="7">
      <c r="A7" s="8" t="s">
        <v>148</v>
      </c>
      <c r="B7" s="2" t="s">
        <v>149</v>
      </c>
    </row>
    <row r="8">
      <c r="A8" s="8" t="s">
        <v>154</v>
      </c>
      <c r="B8" s="2" t="s">
        <v>155</v>
      </c>
    </row>
    <row r="9">
      <c r="A9" s="8" t="s">
        <v>3</v>
      </c>
      <c r="B9" s="2" t="s">
        <v>156</v>
      </c>
    </row>
    <row r="10">
      <c r="A10" s="8" t="s">
        <v>157</v>
      </c>
      <c r="B10" s="2" t="s">
        <v>158</v>
      </c>
    </row>
    <row r="11">
      <c r="A11" s="8" t="s">
        <v>159</v>
      </c>
      <c r="B11" s="2" t="s">
        <v>160</v>
      </c>
    </row>
    <row r="12">
      <c r="A12" s="8" t="s">
        <v>161</v>
      </c>
      <c r="B12" s="2"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2026-10-03T15:24:50.791Z</dcterms:created>
  <dcterms:modified xsi:type="dcterms:W3CDTF">2026-10-03T15:24:50.791Z</dcterms:modified>
</coreProperties>
</file>
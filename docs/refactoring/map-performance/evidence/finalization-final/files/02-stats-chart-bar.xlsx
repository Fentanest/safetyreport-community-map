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f" ContentType="image/x-wmf"/>
  <Default Extension="emz" ContentType="image/x-emz"/>
  <Default Extension="wmz" ContentType="image/x-wmz"/>
  <Default Extension="bmp" ContentType="image/bmp"/>
  <Default Extension="ico" ContentType="image/x-ico"/>
  <Default Extension="jpeg" ContentType="image/jpeg"/>
  <Default Extension="png" ContentType="image/png"/>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<sst xmlns="http://schemas.openxmlformats.org/spreadsheetml/2006/main" count="162" uniqueCount="162">
  <si>
    <t>맞춤 통계 · 기관 × 위반법규 · 과태료 부과율, 답변 건수</t>
  </si>
  <si>
    <t>2026-10-04 00:24:37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</si>
  <si>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</si>
  <si>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</si>
  <si>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</si>
  <si>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</si>
  <si>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</si>
  <si>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</si>
  <si>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</si>
  <si>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</si>
  <si>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</si>
  <si>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</si>
  <si>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</si>
  <si>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</si>
  <si>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</si>
  <si>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</si>
  <si>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</si>
  <si>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</si>
  <si>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</si>
  <si>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</si>
  <si>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</si>
  <si>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</si>
  <si>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</si>
  <si>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</si>
  <si>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</si>
  <si>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</si>
  <si>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</si>
  <si>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</si>
  <si>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</si>
  <si>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</si>
  <si>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</si>
  <si>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</si>
  <si>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</si>
  <si>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</si>
  <si>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</si>
  <si>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</si>
  <si>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</si>
  <si>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</si>
  <si>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</si>
  <si>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</si>
  <si>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</si>
  <si>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</si>
  <si>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</si>
  <si>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</si>
  <si>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</si>
  <si>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</si>
  <si>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</si>
  <si>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</si>
  <si>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</si>
  <si>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</si>
  <si>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</si>
  <si>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</si>
  <si>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</si>
  <si>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</si>
  <si>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</si>
  <si>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</si>
  <si>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</si>
  <si>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</si>
  <si>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</si>
  <si>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</si>
  <si>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</si>
  <si>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</si>
  <si>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</si>
  <si>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</si>
  <si>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</si>
  <si>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</si>
  <si>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</si>
  <si>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</si>
  <si>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</si>
  <si>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</si>
  <si>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</si>
  <si>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</si>
  <si>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</si>
  <si>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</si>
  <si>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</si>
  <si>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</si>
  <si>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</si>
  <si>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</si>
  <si>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</si>
  <si>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</si>
  <si>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</si>
  <si>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</si>
  <si>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</si>
  <si>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</si>
  <si>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</si>
  <si>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</si>
  <si>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</si>
  <si>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</si>
  <si>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</si>
  <si>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</si>
  <si>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</si>
  <si>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</si>
  <si>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</si>
  <si>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</si>
  <si>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</si>
  <si>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</si>
  <si>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대구수성경찰서</t>
  </si>
  <si>
    <t>—</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</si>
  <si>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</si>
  <si>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</si>
  <si>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</si>
  <si>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</si>
  <si>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</si>
  <si>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</si>
  <si>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</si>
  <si>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</si>
  <si>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</si>
  <si>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</si>
  <si>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</si>
  <si>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</si>
  <si>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</si>
  <si>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</si>
  <si>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</si>
  <si>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 막대</t>
  </si>
  <si>
    <t>도로교통법 제32조 · 과태료 부과율</t>
  </si>
  <si>
    <t>도로교통법 제5조 · 과태료 부과율</t>
  </si>
  <si>
    <t>도로교통법 제33조 · 과태료 부과율</t>
  </si>
  <si>
    <t>도로교통법 제27조 · 과태료 부과율</t>
  </si>
  <si>
    <t>도로교통법 제34조 · 과태료 부과율</t>
  </si>
  <si>
    <t>도로교통법 제35조 · 과태료 부과율</t>
  </si>
  <si>
    <t>자동차관리법 제10조 · 과태료 부과율</t>
  </si>
  <si>
    <t>도로교통법 제49조 · 과태료 부과율</t>
  </si>
  <si>
    <t>도로교통법 제38조 · 과태료 부과율</t>
  </si>
  <si>
    <t>도로교통법 제13조 · 과태료 부과율</t>
  </si>
  <si>
    <t>주차장법 제29조 · 과태료 부과율</t>
  </si>
  <si>
    <t>도로교통법 제5조의2 · 과태료 부과율</t>
  </si>
  <si>
    <t>도로교통법 제25조 · 과태료 부과율</t>
  </si>
  <si>
    <t>법규 미상 · 과태료 부과율</t>
  </si>
  <si>
    <t>맞춤 통계 · 기관 × 위반법규 · 과태료 부과율, 답변 건수 · 조회 조건</t>
  </si>
  <si>
    <t>내려받은 시각</t>
  </si>
  <si>
    <t>2026-10-04 00:24:37 (한국 시간)</t>
  </si>
  <si>
    <t>자료 버전</t>
  </si>
  <si>
    <t>e2e-synthetic-1</t>
  </si>
  <si>
    <t>기간</t>
  </si>
  <si>
    <t>2025-10-05 — 2026-10-04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</si>
  <si>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</si>
  <si>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</si>
  <si>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</si>
  <si>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</si>
  <si>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</si>
  <si>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</si>
  <si>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</si>
  <si>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</si>
  <si>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</si>
  <si>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</si>
  <si>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</si>
  <si>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</si>
  <si>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</si>
  <si>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</si>
  <si>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408건</t>
  </si>
  <si>
    <t>표 정렬</t>
  </si>
  <si>
    <t>기본 순서</t>
  </si>
  <si>
    <t>그래프</t>
  </si>
  <si>
    <t>막대</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</si>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</sst>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과태료 부과율 · 막대</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0"/>
        <ser>
          <idx val="0"/>
          <order val="0"/>
          <tx>
            <strRef>
              <f>'차트 데이터'!$B$5</f>
            </strRef>
          </tx>
          <spPr>
            <a:solidFill>
              <a:srgbClr val="0EA5E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데이터'!$B$6:$B$15</f>
              <numCache>
                <formatCode/>
              </numCache>
            </numRef>
          </val>
          <smooth val="0"/>
        </ser>
        <ser>
          <idx val="1"/>
          <order val="1"/>
          <tx>
            <strRef>
              <f>'차트 데이터'!$C$5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데이터'!$C$6:$C$15</f>
              <numCache>
                <formatCode/>
              </numCache>
            </numRef>
          </val>
          <smooth val="0"/>
        </ser>
        <ser>
          <idx val="2"/>
          <order val="2"/>
          <tx>
            <strRef>
              <f>'차트 데이터'!$D$5</f>
            </strRef>
          </tx>
          <spPr>
            <a:solidFill>
              <a:srgbClr val="F973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데이터'!$D$6:$D$15</f>
              <numCache>
                <formatCode/>
              </numCache>
            </numRef>
          </val>
          <smooth val="0"/>
        </ser>
        <ser>
          <idx val="3"/>
          <order val="3"/>
          <tx>
            <strRef>
              <f>'차트 데이터'!$E$5</f>
            </strRef>
          </tx>
          <spPr>
            <a:solidFill>
              <a:srgbClr val="EC4899"/>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데이터'!$E$6:$E$15</f>
              <numCache>
                <formatCode/>
              </numCache>
            </numRef>
          </val>
          <smooth val="0"/>
        </ser>
        <ser>
          <idx val="4"/>
          <order val="4"/>
          <tx>
            <strRef>
              <f>'차트 데이터'!$F$5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데이터'!$F$6:$F$15</f>
              <numCache>
                <formatCode/>
              </numCache>
            </numRef>
          </val>
          <smooth val="0"/>
        </ser>
        <ser>
          <idx val="5"/>
          <order val="5"/>
          <tx>
            <strRef>
              <f>'차트 데이터'!$G$5</f>
            </strRef>
          </tx>
          <spPr>
            <a:solidFill>
              <a:srgbClr val="EAB308"/>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데이터'!$G$6:$G$15</f>
              <numCache>
                <formatCode/>
              </numCache>
            </numRef>
          </val>
          <smooth val="0"/>
        </ser>
        <ser>
          <idx val="6"/>
          <order val="6"/>
          <tx>
            <strRef>
              <f>'차트 데이터'!$H$5</f>
            </strRef>
          </tx>
          <spPr>
            <a:solidFill>
              <a:srgbClr val="F43F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데이터'!$H$6:$H$15</f>
              <numCache>
                <formatCode/>
              </numCache>
            </numRef>
          </val>
          <smooth val="0"/>
        </ser>
        <ser>
          <idx val="7"/>
          <order val="7"/>
          <tx>
            <strRef>
              <f>'차트 데이터'!$I$5</f>
            </strRef>
          </tx>
          <spPr>
            <a:solidFill>
              <a:srgbClr val="84CC1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데이터'!$I$6:$I$15</f>
              <numCache>
                <formatCode/>
              </numCache>
            </numRef>
          </val>
          <smooth val="0"/>
        </ser>
        <ser>
          <idx val="8"/>
          <order val="8"/>
          <tx>
            <strRef>
              <f>'차트 데이터'!$J$5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데이터'!$J$6:$J$15</f>
              <numCache>
                <formatCode/>
              </numCache>
            </numRef>
          </val>
          <smooth val="0"/>
        </ser>
        <ser>
          <idx val="9"/>
          <order val="9"/>
          <tx>
            <strRef>
              <f>'차트 데이터'!$K$5</f>
            </strRef>
          </tx>
          <spPr>
            <a:solidFill>
              <a:srgbClr val="3B82F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데이터'!$K$6:$K$15</f>
              <numCache>
                <formatCode/>
              </numCache>
            </numRef>
          </val>
          <smooth val="0"/>
        </ser>
        <ser>
          <idx val="10"/>
          <order val="10"/>
          <tx>
            <strRef>
              <f>'차트 데이터'!$L$5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데이터'!$L$6:$L$15</f>
              <numCache>
                <formatCode/>
              </numCache>
            </numRef>
          </val>
          <smooth val="0"/>
        </ser>
        <ser>
          <idx val="11"/>
          <order val="11"/>
          <tx>
            <strRef>
              <f>'차트 데이터'!$M$5</f>
            </strRef>
          </tx>
          <spPr>
            <a:solidFill>
              <a:srgbClr val="14B8A6"/>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데이터'!$M$6:$M$15</f>
              <numCache>
                <formatCode/>
              </numCache>
            </numRef>
          </val>
          <smooth val="0"/>
        </ser>
        <ser>
          <idx val="12"/>
          <order val="12"/>
          <tx>
            <strRef>
              <f>'차트 데이터'!$N$5</f>
            </strRef>
          </tx>
          <spPr>
            <a:solidFill>
              <a:srgbClr val="A855F7"/>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데이터'!$N$6:$N$15</f>
              <numCache>
                <formatCode/>
              </numCache>
            </numRef>
          </val>
          <smooth val="0"/>
        </ser>
        <ser>
          <idx val="13"/>
          <order val="13"/>
          <tx>
            <strRef>
              <f>'차트 데이터'!$O$5</f>
            </strRef>
          </tx>
          <spPr>
            <a:solidFill>
              <a:srgbClr val="22C55E"/>
            </a:solidFill>
          </spPr>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'차트 데이터'!$A$6:$A$15</f>
            </strRef>
          </cat>
          <val>
            <numRef>
              <f>'차트 데이터'!$O$6:$O$15</f>
              <numCache>
                <formatCode/>
              </numCache>
            </numRef>
          </val>
          <smooth val="0"/>
        </ser>
        <dLbls>
          <showLegendKey val="0"/>
          <showVal val="0"/>
          <showCatName val="0"/>
          <showSerName val="0"/>
          <showPercent val="0"/>
          <showBubbleSize val="0"/>
          <showLeaderLines val="0"/>
        </dLbls>
        <gapWidth val="80"/>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0.3565217391304348</v>
      </c>
      <c r="C8" s="9">
        <v>41</v>
      </c>
      <c r="D8" s="9">
        <v>115</v>
      </c>
      <c r="E8" s="9">
        <v>115</v>
      </c>
      <c r="F8" s="9">
        <v>115</v>
      </c>
      <c r="G8" s="10" t="str">
        <f>H8/I8</f>
        <v>0.5</v>
      </c>
      <c r="H8" s="9">
        <v>1</v>
      </c>
      <c r="I8" s="9">
        <v>2</v>
      </c>
      <c r="J8" s="9">
        <v>2</v>
      </c>
      <c r="K8" s="9">
        <v>2</v>
      </c>
      <c r="L8" s="7" t="s">
        <v>97</v>
      </c>
      <c r="O8" s="7" t="s">
        <v>97</v>
      </c>
      <c r="Q8" s="10" t="str">
        <f>R8/S8</f>
        <v>0</v>
      </c>
      <c r="R8" s="9">
        <v>0</v>
      </c>
      <c r="S8" s="9">
        <v>2</v>
      </c>
      <c r="T8" s="9">
        <v>2</v>
      </c>
      <c r="U8" s="9">
        <v>2</v>
      </c>
      <c r="V8" s="10" t="str">
        <f>W8/X8</f>
        <v>0.3333333333333333</v>
      </c>
      <c r="W8" s="9">
        <v>1</v>
      </c>
      <c r="X8" s="9">
        <v>3</v>
      </c>
      <c r="Y8" s="9">
        <v>3</v>
      </c>
      <c r="Z8" s="9">
        <v>3</v>
      </c>
      <c r="AA8" s="10" t="str">
        <f>AB8/AC8</f>
        <v>1</v>
      </c>
      <c r="AB8" s="9">
        <v>1</v>
      </c>
      <c r="AC8" s="9">
        <v>1</v>
      </c>
      <c r="AD8" s="9">
        <v>1</v>
      </c>
      <c r="AE8" s="9">
        <v>1</v>
      </c>
      <c r="AF8" s="10" t="str">
        <f>AG8/AH8</f>
        <v>0</v>
      </c>
      <c r="AG8" s="9">
        <v>0</v>
      </c>
      <c r="AH8" s="9">
        <v>1</v>
      </c>
      <c r="AI8" s="9">
        <v>1</v>
      </c>
      <c r="AJ8" s="9">
        <v>1</v>
      </c>
      <c r="AK8" s="7" t="s">
        <v>97</v>
      </c>
      <c r="AN8" s="7" t="s">
        <v>97</v>
      </c>
      <c r="AP8" s="7" t="s">
        <v>97</v>
      </c>
      <c r="AS8" s="7" t="s">
        <v>97</v>
      </c>
      <c r="AU8" s="10" t="str">
        <f>AV8/AW8</f>
        <v>1</v>
      </c>
      <c r="AV8" s="9">
        <v>1</v>
      </c>
      <c r="AW8" s="9">
        <v>1</v>
      </c>
      <c r="AX8" s="9">
        <v>1</v>
      </c>
      <c r="AY8" s="9">
        <v>1</v>
      </c>
      <c r="AZ8" s="10" t="str">
        <f>BA8/BB8</f>
        <v>0.3333333333333333</v>
      </c>
      <c r="BA8" s="9">
        <v>1</v>
      </c>
      <c r="BB8" s="9">
        <v>3</v>
      </c>
      <c r="BC8" s="9">
        <v>3</v>
      </c>
      <c r="BD8" s="9">
        <v>3</v>
      </c>
      <c r="BE8" s="7" t="s">
        <v>97</v>
      </c>
      <c r="BH8" s="7" t="s">
        <v>97</v>
      </c>
      <c r="BJ8" s="7" t="s">
        <v>97</v>
      </c>
      <c r="BM8" s="7" t="s">
        <v>97</v>
      </c>
      <c r="BO8" s="10" t="str">
        <f>BP8/BQ8</f>
        <v>0</v>
      </c>
      <c r="BP8" s="9">
        <v>0</v>
      </c>
      <c r="BQ8" s="9">
        <v>3</v>
      </c>
      <c r="BR8" s="9">
        <v>3</v>
      </c>
      <c r="BS8" s="9">
        <v>3</v>
      </c>
      <c r="BT8" s="10" t="str">
        <f>BU8/BV8</f>
        <v>0.3511450381679389</v>
      </c>
      <c r="BU8" s="9">
        <v>46</v>
      </c>
      <c r="BV8" s="9">
        <v>131</v>
      </c>
      <c r="BW8" s="9">
        <v>131</v>
      </c>
      <c r="BX8" s="9">
        <v>131</v>
      </c>
    </row>
    <row r="9">
      <c r="A9" s="5" t="s">
        <v>98</v>
      </c>
      <c r="B9" s="10" t="str">
        <f>C9/D9</f>
        <v>0.14285714285714285</v>
      </c>
      <c r="C9" s="9">
        <v>1</v>
      </c>
      <c r="D9" s="9">
        <v>7</v>
      </c>
      <c r="E9" s="9">
        <v>7</v>
      </c>
      <c r="F9" s="9">
        <v>7</v>
      </c>
      <c r="G9" s="10" t="str">
        <f>H9/I9</f>
        <v>0.5833333333333334</v>
      </c>
      <c r="H9" s="9">
        <v>7</v>
      </c>
      <c r="I9" s="9">
        <v>12</v>
      </c>
      <c r="J9" s="9">
        <v>12</v>
      </c>
      <c r="K9" s="9">
        <v>12</v>
      </c>
      <c r="L9" s="10" t="str">
        <f>M9/N9</f>
        <v>0.3333333333333333</v>
      </c>
      <c r="M9" s="9">
        <v>2</v>
      </c>
      <c r="N9" s="9">
        <v>6</v>
      </c>
      <c r="O9" s="9">
        <v>6</v>
      </c>
      <c r="P9" s="9">
        <v>6</v>
      </c>
      <c r="Q9" s="10" t="str">
        <f>R9/S9</f>
        <v>0.2</v>
      </c>
      <c r="R9" s="9">
        <v>1</v>
      </c>
      <c r="S9" s="9">
        <v>5</v>
      </c>
      <c r="T9" s="9">
        <v>5</v>
      </c>
      <c r="U9" s="9">
        <v>5</v>
      </c>
      <c r="V9" s="10" t="str">
        <f>W9/X9</f>
        <v>0.4</v>
      </c>
      <c r="W9" s="9">
        <v>2</v>
      </c>
      <c r="X9" s="9">
        <v>5</v>
      </c>
      <c r="Y9" s="9">
        <v>5</v>
      </c>
      <c r="Z9" s="9">
        <v>5</v>
      </c>
      <c r="AA9" s="10" t="str">
        <f>AB9/AC9</f>
        <v>0</v>
      </c>
      <c r="AB9" s="9">
        <v>0</v>
      </c>
      <c r="AC9" s="9">
        <v>5</v>
      </c>
      <c r="AD9" s="9">
        <v>5</v>
      </c>
      <c r="AE9" s="9">
        <v>5</v>
      </c>
      <c r="AF9" s="10" t="str">
        <f>AG9/AH9</f>
        <v>0.3333333333333333</v>
      </c>
      <c r="AG9" s="9">
        <v>1</v>
      </c>
      <c r="AH9" s="9">
        <v>3</v>
      </c>
      <c r="AI9" s="9">
        <v>3</v>
      </c>
      <c r="AJ9" s="9">
        <v>3</v>
      </c>
      <c r="AK9" s="10" t="str">
        <f>AL9/AM9</f>
        <v>0</v>
      </c>
      <c r="AL9" s="9">
        <v>0</v>
      </c>
      <c r="AM9" s="9">
        <v>2</v>
      </c>
      <c r="AN9" s="9">
        <v>2</v>
      </c>
      <c r="AO9" s="9">
        <v>2</v>
      </c>
      <c r="AP9" s="10" t="str">
        <f>AQ9/AR9</f>
        <v>0</v>
      </c>
      <c r="AQ9" s="9">
        <v>0</v>
      </c>
      <c r="AR9" s="9">
        <v>2</v>
      </c>
      <c r="AS9" s="9">
        <v>2</v>
      </c>
      <c r="AT9" s="9">
        <v>2</v>
      </c>
      <c r="AU9" s="10" t="str">
        <f>AV9/AW9</f>
        <v>0.3333333333333333</v>
      </c>
      <c r="AV9" s="9">
        <v>1</v>
      </c>
      <c r="AW9" s="9">
        <v>3</v>
      </c>
      <c r="AX9" s="9">
        <v>3</v>
      </c>
      <c r="AY9" s="9">
        <v>3</v>
      </c>
      <c r="AZ9" s="10" t="str">
        <f>BA9/BB9</f>
        <v>0</v>
      </c>
      <c r="BA9" s="9">
        <v>0</v>
      </c>
      <c r="BB9" s="9">
        <v>2</v>
      </c>
      <c r="BC9" s="9">
        <v>2</v>
      </c>
      <c r="BD9" s="9">
        <v>2</v>
      </c>
      <c r="BE9" s="10" t="str">
        <f>BF9/BG9</f>
        <v>0.3333333333333333</v>
      </c>
      <c r="BF9" s="9">
        <v>1</v>
      </c>
      <c r="BG9" s="9">
        <v>3</v>
      </c>
      <c r="BH9" s="9">
        <v>3</v>
      </c>
      <c r="BI9" s="9">
        <v>3</v>
      </c>
      <c r="BJ9" s="10" t="str">
        <f>BK9/BL9</f>
        <v>0</v>
      </c>
      <c r="BK9" s="9">
        <v>0</v>
      </c>
      <c r="BL9" s="9">
        <v>1</v>
      </c>
      <c r="BM9" s="9">
        <v>1</v>
      </c>
      <c r="BN9" s="9">
        <v>1</v>
      </c>
      <c r="BO9" s="10" t="str">
        <f>BP9/BQ9</f>
        <v>0.25</v>
      </c>
      <c r="BP9" s="9">
        <v>2</v>
      </c>
      <c r="BQ9" s="9">
        <v>8</v>
      </c>
      <c r="BR9" s="9">
        <v>8</v>
      </c>
      <c r="BS9" s="9">
        <v>8</v>
      </c>
      <c r="BT9" s="10" t="str">
        <f>BU9/BV9</f>
        <v>0.28125</v>
      </c>
      <c r="BU9" s="9">
        <v>18</v>
      </c>
      <c r="BV9" s="9">
        <v>64</v>
      </c>
      <c r="BW9" s="9">
        <v>64</v>
      </c>
      <c r="BX9" s="9">
        <v>64</v>
      </c>
    </row>
    <row r="10">
      <c r="A10" s="5" t="s">
        <v>99</v>
      </c>
      <c r="B10" s="10" t="str">
        <f>C10/D10</f>
        <v>0.1111111111111111</v>
      </c>
      <c r="C10" s="9">
        <v>1</v>
      </c>
      <c r="D10" s="9">
        <v>9</v>
      </c>
      <c r="E10" s="9">
        <v>9</v>
      </c>
      <c r="F10" s="9">
        <v>9</v>
      </c>
      <c r="G10" s="10" t="str">
        <f>H10/I10</f>
        <v>0.6</v>
      </c>
      <c r="H10" s="9">
        <v>3</v>
      </c>
      <c r="I10" s="9">
        <v>5</v>
      </c>
      <c r="J10" s="9">
        <v>5</v>
      </c>
      <c r="K10" s="9">
        <v>5</v>
      </c>
      <c r="L10" s="10" t="str">
        <f>M10/N10</f>
        <v>0.3333333333333333</v>
      </c>
      <c r="M10" s="9">
        <v>2</v>
      </c>
      <c r="N10" s="9">
        <v>6</v>
      </c>
      <c r="O10" s="9">
        <v>6</v>
      </c>
      <c r="P10" s="9">
        <v>6</v>
      </c>
      <c r="Q10" s="10" t="str">
        <f>R10/S10</f>
        <v>0.3333333333333333</v>
      </c>
      <c r="R10" s="9">
        <v>1</v>
      </c>
      <c r="S10" s="9">
        <v>3</v>
      </c>
      <c r="T10" s="9">
        <v>3</v>
      </c>
      <c r="U10" s="9">
        <v>3</v>
      </c>
      <c r="V10" s="10" t="str">
        <f>W10/X10</f>
        <v>0.3333333333333333</v>
      </c>
      <c r="W10" s="9">
        <v>1</v>
      </c>
      <c r="X10" s="9">
        <v>3</v>
      </c>
      <c r="Y10" s="9">
        <v>3</v>
      </c>
      <c r="Z10" s="9">
        <v>3</v>
      </c>
      <c r="AA10" s="10" t="str">
        <f>AB10/AC10</f>
        <v>0.25</v>
      </c>
      <c r="AB10" s="9">
        <v>1</v>
      </c>
      <c r="AC10" s="9">
        <v>4</v>
      </c>
      <c r="AD10" s="9">
        <v>4</v>
      </c>
      <c r="AE10" s="9">
        <v>4</v>
      </c>
      <c r="AF10" s="10" t="str">
        <f>AG10/AH10</f>
        <v>0</v>
      </c>
      <c r="AG10" s="9">
        <v>0</v>
      </c>
      <c r="AH10" s="9">
        <v>2</v>
      </c>
      <c r="AI10" s="9">
        <v>2</v>
      </c>
      <c r="AJ10" s="9">
        <v>2</v>
      </c>
      <c r="AK10" s="10" t="str">
        <f>AL10/AM10</f>
        <v>0</v>
      </c>
      <c r="AL10" s="9">
        <v>0</v>
      </c>
      <c r="AM10" s="9">
        <v>4</v>
      </c>
      <c r="AN10" s="9">
        <v>4</v>
      </c>
      <c r="AO10" s="9">
        <v>4</v>
      </c>
      <c r="AP10" s="10" t="str">
        <f>AQ10/AR10</f>
        <v>0</v>
      </c>
      <c r="AQ10" s="9">
        <v>0</v>
      </c>
      <c r="AR10" s="9">
        <v>1</v>
      </c>
      <c r="AS10" s="9">
        <v>1</v>
      </c>
      <c r="AT10" s="9">
        <v>1</v>
      </c>
      <c r="AU10" s="10" t="str">
        <f>AV10/AW10</f>
        <v>0</v>
      </c>
      <c r="AV10" s="9">
        <v>0</v>
      </c>
      <c r="AW10" s="9">
        <v>1</v>
      </c>
      <c r="AX10" s="9">
        <v>1</v>
      </c>
      <c r="AY10" s="9">
        <v>1</v>
      </c>
      <c r="AZ10" s="10" t="str">
        <f>BA10/BB10</f>
        <v>0</v>
      </c>
      <c r="BA10" s="9">
        <v>0</v>
      </c>
      <c r="BB10" s="9">
        <v>1</v>
      </c>
      <c r="BC10" s="9">
        <v>1</v>
      </c>
      <c r="BD10" s="9">
        <v>1</v>
      </c>
      <c r="BE10" s="10" t="str">
        <f>BF10/BG10</f>
        <v>0.6666666666666666</v>
      </c>
      <c r="BF10" s="9">
        <v>2</v>
      </c>
      <c r="BG10" s="9">
        <v>3</v>
      </c>
      <c r="BH10" s="9">
        <v>3</v>
      </c>
      <c r="BI10" s="9">
        <v>3</v>
      </c>
      <c r="BJ10" s="10" t="str">
        <f>BK10/BL10</f>
        <v>0.3333333333333333</v>
      </c>
      <c r="BK10" s="9">
        <v>1</v>
      </c>
      <c r="BL10" s="9">
        <v>3</v>
      </c>
      <c r="BM10" s="9">
        <v>3</v>
      </c>
      <c r="BN10" s="9">
        <v>3</v>
      </c>
      <c r="BO10" s="10" t="str">
        <f>BP10/BQ10</f>
        <v>0.25</v>
      </c>
      <c r="BP10" s="9">
        <v>2</v>
      </c>
      <c r="BQ10" s="9">
        <v>8</v>
      </c>
      <c r="BR10" s="9">
        <v>8</v>
      </c>
      <c r="BS10" s="9">
        <v>8</v>
      </c>
      <c r="BT10" s="10" t="str">
        <f>BU10/BV10</f>
        <v>0.2641509433962264</v>
      </c>
      <c r="BU10" s="9">
        <v>14</v>
      </c>
      <c r="BV10" s="9">
        <v>53</v>
      </c>
      <c r="BW10" s="9">
        <v>53</v>
      </c>
      <c r="BX10" s="9">
        <v>53</v>
      </c>
    </row>
    <row r="11">
      <c r="A11" s="5" t="s">
        <v>100</v>
      </c>
      <c r="B11" s="10" t="str">
        <f>C11/D11</f>
        <v>0.4444444444444444</v>
      </c>
      <c r="C11" s="9">
        <v>4</v>
      </c>
      <c r="D11" s="9">
        <v>9</v>
      </c>
      <c r="E11" s="9">
        <v>9</v>
      </c>
      <c r="F11" s="9">
        <v>9</v>
      </c>
      <c r="G11" s="10" t="str">
        <f>H11/I11</f>
        <v>0</v>
      </c>
      <c r="H11" s="9">
        <v>0</v>
      </c>
      <c r="I11" s="9">
        <v>4</v>
      </c>
      <c r="J11" s="9">
        <v>4</v>
      </c>
      <c r="K11" s="9">
        <v>4</v>
      </c>
      <c r="L11" s="10" t="str">
        <f>M11/N11</f>
        <v>0</v>
      </c>
      <c r="M11" s="9">
        <v>0</v>
      </c>
      <c r="N11" s="9">
        <v>2</v>
      </c>
      <c r="O11" s="9">
        <v>2</v>
      </c>
      <c r="P11" s="9">
        <v>2</v>
      </c>
      <c r="Q11" s="10" t="str">
        <f>R11/S11</f>
        <v>0.5</v>
      </c>
      <c r="R11" s="9">
        <v>1</v>
      </c>
      <c r="S11" s="9">
        <v>2</v>
      </c>
      <c r="T11" s="9">
        <v>2</v>
      </c>
      <c r="U11" s="9">
        <v>2</v>
      </c>
      <c r="V11" s="10" t="str">
        <f>W11/X11</f>
        <v>0.4</v>
      </c>
      <c r="W11" s="9">
        <v>2</v>
      </c>
      <c r="X11" s="9">
        <v>5</v>
      </c>
      <c r="Y11" s="9">
        <v>5</v>
      </c>
      <c r="Z11" s="9">
        <v>5</v>
      </c>
      <c r="AA11" s="10" t="str">
        <f>AB11/AC11</f>
        <v>0.25</v>
      </c>
      <c r="AB11" s="9">
        <v>1</v>
      </c>
      <c r="AC11" s="9">
        <v>4</v>
      </c>
      <c r="AD11" s="9">
        <v>4</v>
      </c>
      <c r="AE11" s="9">
        <v>4</v>
      </c>
      <c r="AF11" s="10" t="str">
        <f>AG11/AH11</f>
        <v>0</v>
      </c>
      <c r="AG11" s="9">
        <v>0</v>
      </c>
      <c r="AH11" s="9">
        <v>4</v>
      </c>
      <c r="AI11" s="9">
        <v>4</v>
      </c>
      <c r="AJ11" s="9">
        <v>4</v>
      </c>
      <c r="AK11" s="10" t="str">
        <f>AL11/AM11</f>
        <v>0</v>
      </c>
      <c r="AL11" s="9">
        <v>0</v>
      </c>
      <c r="AM11" s="9">
        <v>3</v>
      </c>
      <c r="AN11" s="9">
        <v>3</v>
      </c>
      <c r="AO11" s="9">
        <v>3</v>
      </c>
      <c r="AP11" s="10" t="str">
        <f>AQ11/AR11</f>
        <v>0.2</v>
      </c>
      <c r="AQ11" s="9">
        <v>1</v>
      </c>
      <c r="AR11" s="9">
        <v>5</v>
      </c>
      <c r="AS11" s="9">
        <v>5</v>
      </c>
      <c r="AT11" s="9">
        <v>5</v>
      </c>
      <c r="AU11" s="10" t="str">
        <f>AV11/AW11</f>
        <v>0</v>
      </c>
      <c r="AV11" s="9">
        <v>0</v>
      </c>
      <c r="AW11" s="9">
        <v>1</v>
      </c>
      <c r="AX11" s="9">
        <v>1</v>
      </c>
      <c r="AY11" s="9">
        <v>1</v>
      </c>
      <c r="AZ11" s="10" t="str">
        <f>BA11/BB11</f>
        <v>0</v>
      </c>
      <c r="BA11" s="9">
        <v>0</v>
      </c>
      <c r="BB11" s="9">
        <v>2</v>
      </c>
      <c r="BC11" s="9">
        <v>2</v>
      </c>
      <c r="BD11" s="9">
        <v>2</v>
      </c>
      <c r="BE11" s="10" t="str">
        <f>BF11/BG11</f>
        <v>0</v>
      </c>
      <c r="BF11" s="9">
        <v>0</v>
      </c>
      <c r="BG11" s="9">
        <v>1</v>
      </c>
      <c r="BH11" s="9">
        <v>1</v>
      </c>
      <c r="BI11" s="9">
        <v>1</v>
      </c>
      <c r="BJ11" s="10" t="str">
        <f>BK11/BL11</f>
        <v>0.6666666666666666</v>
      </c>
      <c r="BK11" s="9">
        <v>2</v>
      </c>
      <c r="BL11" s="9">
        <v>3</v>
      </c>
      <c r="BM11" s="9">
        <v>3</v>
      </c>
      <c r="BN11" s="9">
        <v>3</v>
      </c>
      <c r="BO11" s="10" t="str">
        <f>BP11/BQ11</f>
        <v>0.3333333333333333</v>
      </c>
      <c r="BP11" s="9">
        <v>2</v>
      </c>
      <c r="BQ11" s="9">
        <v>6</v>
      </c>
      <c r="BR11" s="9">
        <v>6</v>
      </c>
      <c r="BS11" s="9">
        <v>6</v>
      </c>
      <c r="BT11" s="10" t="str">
        <f>BU11/BV11</f>
        <v>0.2549019607843137</v>
      </c>
      <c r="BU11" s="9">
        <v>13</v>
      </c>
      <c r="BV11" s="9">
        <v>51</v>
      </c>
      <c r="BW11" s="9">
        <v>51</v>
      </c>
      <c r="BX11" s="9">
        <v>51</v>
      </c>
    </row>
    <row r="12">
      <c r="A12" s="5" t="s">
        <v>101</v>
      </c>
      <c r="B12" s="10" t="str">
        <f>C12/D12</f>
        <v>0.2857142857142857</v>
      </c>
      <c r="C12" s="9">
        <v>2</v>
      </c>
      <c r="D12" s="9">
        <v>7</v>
      </c>
      <c r="E12" s="9">
        <v>7</v>
      </c>
      <c r="F12" s="9">
        <v>7</v>
      </c>
      <c r="G12" s="10" t="str">
        <f>H12/I12</f>
        <v>0</v>
      </c>
      <c r="H12" s="9">
        <v>0</v>
      </c>
      <c r="I12" s="9">
        <v>1</v>
      </c>
      <c r="J12" s="9">
        <v>1</v>
      </c>
      <c r="K12" s="9">
        <v>1</v>
      </c>
      <c r="L12" s="10" t="str">
        <f>M12/N12</f>
        <v>0</v>
      </c>
      <c r="M12" s="9">
        <v>0</v>
      </c>
      <c r="N12" s="9">
        <v>1</v>
      </c>
      <c r="O12" s="9">
        <v>1</v>
      </c>
      <c r="P12" s="9">
        <v>1</v>
      </c>
      <c r="Q12" s="10" t="str">
        <f>R12/S12</f>
        <v>0</v>
      </c>
      <c r="R12" s="9">
        <v>0</v>
      </c>
      <c r="S12" s="9">
        <v>3</v>
      </c>
      <c r="T12" s="9">
        <v>3</v>
      </c>
      <c r="U12" s="9">
        <v>3</v>
      </c>
      <c r="V12" s="10" t="str">
        <f>W12/X12</f>
        <v>0</v>
      </c>
      <c r="W12" s="9">
        <v>0</v>
      </c>
      <c r="X12" s="9">
        <v>1</v>
      </c>
      <c r="Y12" s="9">
        <v>1</v>
      </c>
      <c r="Z12" s="9">
        <v>1</v>
      </c>
      <c r="AA12" s="7" t="s">
        <v>97</v>
      </c>
      <c r="AD12" s="7" t="s">
        <v>97</v>
      </c>
      <c r="AF12" s="10" t="str">
        <f>AG12/AH12</f>
        <v>1</v>
      </c>
      <c r="AG12" s="9">
        <v>1</v>
      </c>
      <c r="AH12" s="9">
        <v>1</v>
      </c>
      <c r="AI12" s="9">
        <v>1</v>
      </c>
      <c r="AJ12" s="9">
        <v>1</v>
      </c>
      <c r="AK12" s="10" t="str">
        <f>AL12/AM12</f>
        <v>0.3333333333333333</v>
      </c>
      <c r="AL12" s="9">
        <v>1</v>
      </c>
      <c r="AM12" s="9">
        <v>3</v>
      </c>
      <c r="AN12" s="9">
        <v>3</v>
      </c>
      <c r="AO12" s="9">
        <v>3</v>
      </c>
      <c r="AP12" s="10" t="str">
        <f>AQ12/AR12</f>
        <v>0.5</v>
      </c>
      <c r="AQ12" s="9">
        <v>1</v>
      </c>
      <c r="AR12" s="9">
        <v>2</v>
      </c>
      <c r="AS12" s="9">
        <v>2</v>
      </c>
      <c r="AT12" s="9">
        <v>2</v>
      </c>
      <c r="AU12" s="10" t="str">
        <f>AV12/AW12</f>
        <v>0.5</v>
      </c>
      <c r="AV12" s="9">
        <v>1</v>
      </c>
      <c r="AW12" s="9">
        <v>2</v>
      </c>
      <c r="AX12" s="9">
        <v>2</v>
      </c>
      <c r="AY12" s="9">
        <v>2</v>
      </c>
      <c r="AZ12" s="10" t="str">
        <f>BA12/BB12</f>
        <v>0.5</v>
      </c>
      <c r="BA12" s="9">
        <v>1</v>
      </c>
      <c r="BB12" s="9">
        <v>2</v>
      </c>
      <c r="BC12" s="9">
        <v>2</v>
      </c>
      <c r="BD12" s="9">
        <v>2</v>
      </c>
      <c r="BE12" s="7" t="s">
        <v>97</v>
      </c>
      <c r="BH12" s="7" t="s">
        <v>97</v>
      </c>
      <c r="BJ12" s="7" t="s">
        <v>97</v>
      </c>
      <c r="BM12" s="7" t="s">
        <v>97</v>
      </c>
      <c r="BO12" s="10" t="str">
        <f>BP12/BQ12</f>
        <v>0</v>
      </c>
      <c r="BP12" s="9">
        <v>0</v>
      </c>
      <c r="BQ12" s="9">
        <v>4</v>
      </c>
      <c r="BR12" s="9">
        <v>4</v>
      </c>
      <c r="BS12" s="9">
        <v>4</v>
      </c>
      <c r="BT12" s="10" t="str">
        <f>BU12/BV12</f>
        <v>0.25925925925925924</v>
      </c>
      <c r="BU12" s="9">
        <v>7</v>
      </c>
      <c r="BV12" s="9">
        <v>27</v>
      </c>
      <c r="BW12" s="9">
        <v>27</v>
      </c>
      <c r="BX12" s="9">
        <v>27</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97</v>
      </c>
      <c r="Y13" s="7" t="s">
        <v>97</v>
      </c>
      <c r="AA13" s="10" t="str">
        <f>AB13/AC13</f>
        <v>0</v>
      </c>
      <c r="AB13" s="9">
        <v>0</v>
      </c>
      <c r="AC13" s="9">
        <v>2</v>
      </c>
      <c r="AD13" s="9">
        <v>2</v>
      </c>
      <c r="AE13" s="9">
        <v>2</v>
      </c>
      <c r="AF13" s="10" t="str">
        <f>AG13/AH13</f>
        <v>0.3333333333333333</v>
      </c>
      <c r="AG13" s="9">
        <v>1</v>
      </c>
      <c r="AH13" s="9">
        <v>3</v>
      </c>
      <c r="AI13" s="9">
        <v>3</v>
      </c>
      <c r="AJ13" s="9">
        <v>3</v>
      </c>
      <c r="AK13" s="7" t="s">
        <v>97</v>
      </c>
      <c r="AN13" s="7" t="s">
        <v>97</v>
      </c>
      <c r="AP13" s="7" t="s">
        <v>97</v>
      </c>
      <c r="AS13" s="7" t="s">
        <v>97</v>
      </c>
      <c r="AU13" s="10" t="str">
        <f>AV13/AW13</f>
        <v>0</v>
      </c>
      <c r="AV13" s="9">
        <v>0</v>
      </c>
      <c r="AW13" s="9">
        <v>1</v>
      </c>
      <c r="AX13" s="9">
        <v>1</v>
      </c>
      <c r="AY13" s="9">
        <v>1</v>
      </c>
      <c r="AZ13" s="7" t="s">
        <v>97</v>
      </c>
      <c r="BC13" s="7" t="s">
        <v>97</v>
      </c>
      <c r="BE13" s="7" t="s">
        <v>97</v>
      </c>
      <c r="BH13" s="7" t="s">
        <v>97</v>
      </c>
      <c r="BJ13" s="7" t="s">
        <v>97</v>
      </c>
      <c r="BM13" s="7" t="s">
        <v>97</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0.5</v>
      </c>
      <c r="C14" s="9">
        <v>1</v>
      </c>
      <c r="D14" s="9">
        <v>2</v>
      </c>
      <c r="E14" s="9">
        <v>2</v>
      </c>
      <c r="F14" s="9">
        <v>2</v>
      </c>
      <c r="G14" s="7" t="s">
        <v>97</v>
      </c>
      <c r="J14" s="7" t="s">
        <v>97</v>
      </c>
      <c r="L14" s="10" t="str">
        <f>M14/N14</f>
        <v>0</v>
      </c>
      <c r="M14" s="9">
        <v>0</v>
      </c>
      <c r="N14" s="9">
        <v>2</v>
      </c>
      <c r="O14" s="9">
        <v>2</v>
      </c>
      <c r="P14" s="9">
        <v>2</v>
      </c>
      <c r="Q14" s="10" t="str">
        <f>R14/S14</f>
        <v>0.6666666666666666</v>
      </c>
      <c r="R14" s="9">
        <v>2</v>
      </c>
      <c r="S14" s="9">
        <v>3</v>
      </c>
      <c r="T14" s="9">
        <v>3</v>
      </c>
      <c r="U14" s="9">
        <v>3</v>
      </c>
      <c r="V14" s="7" t="s">
        <v>97</v>
      </c>
      <c r="Y14" s="7" t="s">
        <v>97</v>
      </c>
      <c r="AA14" s="7" t="s">
        <v>97</v>
      </c>
      <c r="AD14" s="7" t="s">
        <v>97</v>
      </c>
      <c r="AF14" s="7" t="s">
        <v>97</v>
      </c>
      <c r="AI14" s="7" t="s">
        <v>97</v>
      </c>
      <c r="AK14" s="10" t="str">
        <f>AL14/AM14</f>
        <v>0</v>
      </c>
      <c r="AL14" s="9">
        <v>0</v>
      </c>
      <c r="AM14" s="9">
        <v>1</v>
      </c>
      <c r="AN14" s="9">
        <v>1</v>
      </c>
      <c r="AO14" s="9">
        <v>1</v>
      </c>
      <c r="AP14" s="10" t="str">
        <f>AQ14/AR14</f>
        <v>0</v>
      </c>
      <c r="AQ14" s="9">
        <v>0</v>
      </c>
      <c r="AR14" s="9">
        <v>2</v>
      </c>
      <c r="AS14" s="9">
        <v>2</v>
      </c>
      <c r="AT14" s="9">
        <v>2</v>
      </c>
      <c r="AU14" s="10" t="str">
        <f>AV14/AW14</f>
        <v>0</v>
      </c>
      <c r="AV14" s="9">
        <v>0</v>
      </c>
      <c r="AW14" s="9">
        <v>2</v>
      </c>
      <c r="AX14" s="9">
        <v>2</v>
      </c>
      <c r="AY14" s="9">
        <v>2</v>
      </c>
      <c r="AZ14" s="10" t="str">
        <f>BA14/BB14</f>
        <v>1</v>
      </c>
      <c r="BA14" s="9">
        <v>1</v>
      </c>
      <c r="BB14" s="9">
        <v>1</v>
      </c>
      <c r="BC14" s="9">
        <v>1</v>
      </c>
      <c r="BD14" s="9">
        <v>1</v>
      </c>
      <c r="BE14" s="10" t="str">
        <f>BF14/BG14</f>
        <v>0</v>
      </c>
      <c r="BF14" s="9">
        <v>0</v>
      </c>
      <c r="BG14" s="9">
        <v>1</v>
      </c>
      <c r="BH14" s="9">
        <v>1</v>
      </c>
      <c r="BI14" s="9">
        <v>1</v>
      </c>
      <c r="BJ14" s="10" t="str">
        <f>BK14/BL14</f>
        <v>0.5</v>
      </c>
      <c r="BK14" s="9">
        <v>1</v>
      </c>
      <c r="BL14" s="9">
        <v>2</v>
      </c>
      <c r="BM14" s="9">
        <v>2</v>
      </c>
      <c r="BN14" s="9">
        <v>2</v>
      </c>
      <c r="BO14" s="10" t="str">
        <f>BP14/BQ14</f>
        <v>0</v>
      </c>
      <c r="BP14" s="9">
        <v>0</v>
      </c>
      <c r="BQ14" s="9">
        <v>1</v>
      </c>
      <c r="BR14" s="9">
        <v>1</v>
      </c>
      <c r="BS14" s="9">
        <v>1</v>
      </c>
      <c r="BT14" s="10" t="str">
        <f>BU14/BV14</f>
        <v>0.29411764705882354</v>
      </c>
      <c r="BU14" s="9">
        <v>5</v>
      </c>
      <c r="BV14" s="9">
        <v>17</v>
      </c>
      <c r="BW14" s="9">
        <v>17</v>
      </c>
      <c r="BX14" s="9">
        <v>17</v>
      </c>
    </row>
    <row r="15">
      <c r="A15" s="5" t="s">
        <v>104</v>
      </c>
      <c r="B15" s="10" t="str">
        <f>C15/D15</f>
        <v>0</v>
      </c>
      <c r="C15" s="9">
        <v>0</v>
      </c>
      <c r="D15" s="9">
        <v>2</v>
      </c>
      <c r="E15" s="9">
        <v>2</v>
      </c>
      <c r="F15" s="9">
        <v>2</v>
      </c>
      <c r="G15" s="10" t="str">
        <f>H15/I15</f>
        <v>0</v>
      </c>
      <c r="H15" s="9">
        <v>0</v>
      </c>
      <c r="I15" s="9">
        <v>2</v>
      </c>
      <c r="J15" s="9">
        <v>2</v>
      </c>
      <c r="K15" s="9">
        <v>2</v>
      </c>
      <c r="L15" s="10" t="str">
        <f>M15/N15</f>
        <v>0</v>
      </c>
      <c r="M15" s="9">
        <v>0</v>
      </c>
      <c r="N15" s="9">
        <v>1</v>
      </c>
      <c r="O15" s="9">
        <v>1</v>
      </c>
      <c r="P15" s="9">
        <v>1</v>
      </c>
      <c r="Q15" s="10" t="str">
        <f>R15/S15</f>
        <v>0</v>
      </c>
      <c r="R15" s="9">
        <v>0</v>
      </c>
      <c r="S15" s="9">
        <v>2</v>
      </c>
      <c r="T15" s="9">
        <v>2</v>
      </c>
      <c r="U15" s="9">
        <v>2</v>
      </c>
      <c r="V15" s="7" t="s">
        <v>97</v>
      </c>
      <c r="Y15" s="7" t="s">
        <v>97</v>
      </c>
      <c r="AA15" s="10" t="str">
        <f>AB15/AC15</f>
        <v>1</v>
      </c>
      <c r="AB15" s="9">
        <v>1</v>
      </c>
      <c r="AC15" s="9">
        <v>1</v>
      </c>
      <c r="AD15" s="9">
        <v>1</v>
      </c>
      <c r="AE15" s="9">
        <v>1</v>
      </c>
      <c r="AF15" s="10" t="str">
        <f>AG15/AH15</f>
        <v>0</v>
      </c>
      <c r="AG15" s="9">
        <v>0</v>
      </c>
      <c r="AH15" s="9">
        <v>1</v>
      </c>
      <c r="AI15" s="9">
        <v>1</v>
      </c>
      <c r="AJ15" s="9">
        <v>1</v>
      </c>
      <c r="AK15" s="10" t="str">
        <f>AL15/AM15</f>
        <v>0</v>
      </c>
      <c r="AL15" s="9">
        <v>0</v>
      </c>
      <c r="AM15" s="9">
        <v>1</v>
      </c>
      <c r="AN15" s="9">
        <v>1</v>
      </c>
      <c r="AO15" s="9">
        <v>1</v>
      </c>
      <c r="AP15" s="7" t="s">
        <v>97</v>
      </c>
      <c r="AS15" s="7" t="s">
        <v>97</v>
      </c>
      <c r="AU15" s="10" t="str">
        <f>AV15/AW15</f>
        <v>0</v>
      </c>
      <c r="AV15" s="9">
        <v>0</v>
      </c>
      <c r="AW15" s="9">
        <v>1</v>
      </c>
      <c r="AX15" s="9">
        <v>1</v>
      </c>
      <c r="AY15" s="9">
        <v>1</v>
      </c>
      <c r="AZ15" s="10" t="str">
        <f>BA15/BB15</f>
        <v>0</v>
      </c>
      <c r="BA15" s="9">
        <v>0</v>
      </c>
      <c r="BB15" s="9">
        <v>1</v>
      </c>
      <c r="BC15" s="9">
        <v>1</v>
      </c>
      <c r="BD15" s="9">
        <v>1</v>
      </c>
      <c r="BE15" s="10" t="str">
        <f>BF15/BG15</f>
        <v>0</v>
      </c>
      <c r="BF15" s="9">
        <v>0</v>
      </c>
      <c r="BG15" s="9">
        <v>2</v>
      </c>
      <c r="BH15" s="9">
        <v>2</v>
      </c>
      <c r="BI15" s="9">
        <v>2</v>
      </c>
      <c r="BJ15" s="7" t="s">
        <v>97</v>
      </c>
      <c r="BM15" s="7" t="s">
        <v>97</v>
      </c>
      <c r="BO15" s="10" t="str">
        <f>BP15/BQ15</f>
        <v>0.3333333333333333</v>
      </c>
      <c r="BP15" s="9">
        <v>1</v>
      </c>
      <c r="BQ15" s="9">
        <v>3</v>
      </c>
      <c r="BR15" s="9">
        <v>3</v>
      </c>
      <c r="BS15" s="9">
        <v>3</v>
      </c>
      <c r="BT15" s="10" t="str">
        <f>BU15/BV15</f>
        <v>0.11764705882352941</v>
      </c>
      <c r="BU15" s="9">
        <v>2</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1</v>
      </c>
      <c r="Y16" s="9">
        <v>1</v>
      </c>
      <c r="Z16" s="9">
        <v>1</v>
      </c>
      <c r="AA16" s="7" t="s">
        <v>97</v>
      </c>
      <c r="AD16" s="7" t="s">
        <v>97</v>
      </c>
      <c r="AF16" s="7" t="s">
        <v>97</v>
      </c>
      <c r="AI16" s="7" t="s">
        <v>97</v>
      </c>
      <c r="AK16" s="10" t="str">
        <f>AL16/AM16</f>
        <v>0</v>
      </c>
      <c r="AL16" s="9">
        <v>0</v>
      </c>
      <c r="AM16" s="9">
        <v>1</v>
      </c>
      <c r="AN16" s="9">
        <v>1</v>
      </c>
      <c r="AO16" s="9">
        <v>1</v>
      </c>
      <c r="AP16" s="10" t="str">
        <f>AQ16/AR16</f>
        <v>0.5</v>
      </c>
      <c r="AQ16" s="9">
        <v>1</v>
      </c>
      <c r="AR16" s="9">
        <v>2</v>
      </c>
      <c r="AS16" s="9">
        <v>2</v>
      </c>
      <c r="AT16" s="9">
        <v>2</v>
      </c>
      <c r="AU16" s="10" t="str">
        <f>AV16/AW16</f>
        <v>0</v>
      </c>
      <c r="AV16" s="9">
        <v>0</v>
      </c>
      <c r="AW16" s="9">
        <v>2</v>
      </c>
      <c r="AX16" s="9">
        <v>2</v>
      </c>
      <c r="AY16" s="9">
        <v>2</v>
      </c>
      <c r="AZ16" s="7" t="s">
        <v>97</v>
      </c>
      <c r="BC16" s="7" t="s">
        <v>97</v>
      </c>
      <c r="BE16" s="7" t="s">
        <v>97</v>
      </c>
      <c r="BH16" s="7" t="s">
        <v>97</v>
      </c>
      <c r="BJ16" s="7" t="s">
        <v>97</v>
      </c>
      <c r="BM16" s="7" t="s">
        <v>97</v>
      </c>
      <c r="BO16" s="10" t="str">
        <f>BP16/BQ16</f>
        <v>0.5</v>
      </c>
      <c r="BP16" s="9">
        <v>1</v>
      </c>
      <c r="BQ16" s="9">
        <v>2</v>
      </c>
      <c r="BR16" s="9">
        <v>2</v>
      </c>
      <c r="BS16" s="9">
        <v>2</v>
      </c>
      <c r="BT16" s="10" t="str">
        <f>BU16/BV16</f>
        <v>0.2857142857142857</v>
      </c>
      <c r="BU16" s="9">
        <v>4</v>
      </c>
      <c r="BV16" s="9">
        <v>14</v>
      </c>
      <c r="BW16" s="9">
        <v>14</v>
      </c>
      <c r="BX16" s="9">
        <v>14</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97</v>
      </c>
      <c r="T17" s="7" t="s">
        <v>97</v>
      </c>
      <c r="V17" s="7" t="s">
        <v>97</v>
      </c>
      <c r="Y17" s="7" t="s">
        <v>97</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7" t="s">
        <v>97</v>
      </c>
      <c r="AX17" s="7" t="s">
        <v>97</v>
      </c>
      <c r="AZ17" s="10" t="str">
        <f>BA17/BB17</f>
        <v>0</v>
      </c>
      <c r="BA17" s="9">
        <v>0</v>
      </c>
      <c r="BB17" s="9">
        <v>1</v>
      </c>
      <c r="BC17" s="9">
        <v>1</v>
      </c>
      <c r="BD17" s="9">
        <v>1</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0.33974358974358976</v>
      </c>
      <c r="C18" s="16">
        <v>53</v>
      </c>
      <c r="D18" s="16">
        <v>156</v>
      </c>
      <c r="E18" s="16">
        <v>156</v>
      </c>
      <c r="F18" s="16">
        <v>156</v>
      </c>
      <c r="G18" s="17" t="str">
        <f>H18/I18</f>
        <v>0.4375</v>
      </c>
      <c r="H18" s="16">
        <v>14</v>
      </c>
      <c r="I18" s="16">
        <v>32</v>
      </c>
      <c r="J18" s="16">
        <v>32</v>
      </c>
      <c r="K18" s="16">
        <v>32</v>
      </c>
      <c r="L18" s="17" t="str">
        <f>M18/N18</f>
        <v>0.21739130434782608</v>
      </c>
      <c r="M18" s="16">
        <v>5</v>
      </c>
      <c r="N18" s="16">
        <v>23</v>
      </c>
      <c r="O18" s="16">
        <v>23</v>
      </c>
      <c r="P18" s="16">
        <v>23</v>
      </c>
      <c r="Q18" s="17" t="str">
        <f>R18/S18</f>
        <v>0.2727272727272727</v>
      </c>
      <c r="R18" s="16">
        <v>6</v>
      </c>
      <c r="S18" s="16">
        <v>22</v>
      </c>
      <c r="T18" s="16">
        <v>22</v>
      </c>
      <c r="U18" s="16">
        <v>22</v>
      </c>
      <c r="V18" s="17" t="str">
        <f>W18/X18</f>
        <v>0.3333333333333333</v>
      </c>
      <c r="W18" s="16">
        <v>6</v>
      </c>
      <c r="X18" s="16">
        <v>18</v>
      </c>
      <c r="Y18" s="16">
        <v>18</v>
      </c>
      <c r="Z18" s="16">
        <v>18</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0.21428571428571427</v>
      </c>
      <c r="AV18" s="16">
        <v>3</v>
      </c>
      <c r="AW18" s="16">
        <v>14</v>
      </c>
      <c r="AX18" s="16">
        <v>14</v>
      </c>
      <c r="AY18" s="16">
        <v>14</v>
      </c>
      <c r="AZ18" s="17" t="str">
        <f>BA18/BB18</f>
        <v>0.23076923076923078</v>
      </c>
      <c r="BA18" s="16">
        <v>3</v>
      </c>
      <c r="BB18" s="16">
        <v>13</v>
      </c>
      <c r="BC18" s="16">
        <v>13</v>
      </c>
      <c r="BD18" s="16">
        <v>13</v>
      </c>
      <c r="BE18" s="17" t="str">
        <f>BF18/BG18</f>
        <v>0.2727272727272727</v>
      </c>
      <c r="BF18" s="16">
        <v>3</v>
      </c>
      <c r="BG18" s="16">
        <v>11</v>
      </c>
      <c r="BH18" s="16">
        <v>11</v>
      </c>
      <c r="BI18" s="16">
        <v>11</v>
      </c>
      <c r="BJ18" s="17" t="str">
        <f>BK18/BL18</f>
        <v>0.4</v>
      </c>
      <c r="BK18" s="16">
        <v>4</v>
      </c>
      <c r="BL18" s="16">
        <v>10</v>
      </c>
      <c r="BM18" s="16">
        <v>10</v>
      </c>
      <c r="BN18" s="16">
        <v>10</v>
      </c>
      <c r="BO18" s="17" t="str">
        <f>BP18/BQ18</f>
        <v>0.21428571428571427</v>
      </c>
      <c r="BP18" s="16">
        <v>9</v>
      </c>
      <c r="BQ18" s="16">
        <v>42</v>
      </c>
      <c r="BR18" s="16">
        <v>42</v>
      </c>
      <c r="BS18" s="16">
        <v>42</v>
      </c>
      <c r="BT18" s="17" t="str">
        <f>BU18/BV18</f>
        <v>0.29411764705882354</v>
      </c>
      <c r="BU18" s="16">
        <v>120</v>
      </c>
      <c r="BV18" s="16">
        <v>408</v>
      </c>
      <c r="BW18" s="16">
        <v>408</v>
      </c>
      <c r="BX18" s="16">
        <v>408</v>
      </c>
    </row>
    <row r="20">
      <c r="A20" s="3" t="s">
        <v>108</v>
      </c>
    </row>
    <row r="21">
      <c r="A21" s="3" t="s">
        <v>109</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112</v>
      </c>
    </row>
    <row r="3">
      <c r="A3" s="8" t="s">
        <v>113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row r="4">
      <c r="A4" s="8" t="s">
        <v>113</v>
      </c>
    </row>
    <row r="5">
      <c r="A5" s="4" t="s">
        <v>3</v>
      </c>
      <c r="B5" s="4" t="s">
        <v>114</v>
      </c>
      <c r="C5" s="4" t="s">
        <v>115</v>
      </c>
      <c r="D5" s="4" t="s">
        <v>116</v>
      </c>
      <c r="E5" s="4" t="s">
        <v>117</v>
      </c>
      <c r="F5" s="4" t="s">
        <v>118</v>
      </c>
      <c r="G5" s="4" t="s">
        <v>119</v>
      </c>
      <c r="H5" s="4" t="s">
        <v>120</v>
      </c>
      <c r="I5" s="4" t="s">
        <v>121</v>
      </c>
      <c r="J5" s="4" t="s">
        <v>122</v>
      </c>
      <c r="K5" s="4" t="s">
        <v>123</v>
      </c>
      <c r="L5" s="4" t="s">
        <v>124</v>
      </c>
      <c r="M5" s="4" t="s">
        <v>125</v>
      </c>
      <c r="N5" s="4" t="s">
        <v>126</v>
      </c>
      <c r="O5" s="4" t="s">
        <v>127</v>
      </c>
    </row>
    <row r="6">
      <c r="A6" s="5" t="s">
        <v>96</v>
      </c>
      <c r="B6" s="10" t="str">
        <f>'통계표'!$B$8</f>
        <v>0.3565217391304348</v>
      </c>
      <c r="C6" s="10" t="str">
        <f>'통계표'!$G$8</f>
        <v>0.5</v>
      </c>
      <c r="E6" s="10" t="str">
        <f>'통계표'!$Q$8</f>
        <v>0</v>
      </c>
      <c r="F6" s="10" t="str">
        <f>'통계표'!$V$8</f>
        <v>0.3333333333333333</v>
      </c>
      <c r="G6" s="10" t="str">
        <f>'통계표'!$AA$8</f>
        <v>1</v>
      </c>
      <c r="H6" s="10" t="str">
        <f>'통계표'!$AF$8</f>
        <v>0</v>
      </c>
      <c r="K6" s="10" t="str">
        <f>'통계표'!$AU$8</f>
        <v>1</v>
      </c>
      <c r="L6" s="10" t="str">
        <f>'통계표'!$AZ$8</f>
        <v>0.3333333333333333</v>
      </c>
      <c r="O6" s="10" t="str">
        <f>'통계표'!$BO$8</f>
        <v>0</v>
      </c>
    </row>
    <row r="7">
      <c r="A7" s="5" t="s">
        <v>98</v>
      </c>
      <c r="B7" s="10" t="str">
        <f>'통계표'!$B$9</f>
        <v>0.14285714285714285</v>
      </c>
      <c r="C7" s="10" t="str">
        <f>'통계표'!$G$9</f>
        <v>0.5833333333333334</v>
      </c>
      <c r="D7" s="10" t="str">
        <f>'통계표'!$L$9</f>
        <v>0.3333333333333333</v>
      </c>
      <c r="E7" s="10" t="str">
        <f>'통계표'!$Q$9</f>
        <v>0.2</v>
      </c>
      <c r="F7" s="10" t="str">
        <f>'통계표'!$V$9</f>
        <v>0.4</v>
      </c>
      <c r="G7" s="10" t="str">
        <f>'통계표'!$AA$9</f>
        <v>0</v>
      </c>
      <c r="H7" s="10" t="str">
        <f>'통계표'!$AF$9</f>
        <v>0.3333333333333333</v>
      </c>
      <c r="I7" s="10" t="str">
        <f>'통계표'!$AK$9</f>
        <v>0</v>
      </c>
      <c r="J7" s="10" t="str">
        <f>'통계표'!$AP$9</f>
        <v>0</v>
      </c>
      <c r="K7" s="10" t="str">
        <f>'통계표'!$AU$9</f>
        <v>0.3333333333333333</v>
      </c>
      <c r="L7" s="10" t="str">
        <f>'통계표'!$AZ$9</f>
        <v>0</v>
      </c>
      <c r="M7" s="10" t="str">
        <f>'통계표'!$BE$9</f>
        <v>0.3333333333333333</v>
      </c>
      <c r="N7" s="10" t="str">
        <f>'통계표'!$BJ$9</f>
        <v>0</v>
      </c>
      <c r="O7" s="10" t="str">
        <f>'통계표'!$BO$9</f>
        <v>0.25</v>
      </c>
    </row>
    <row r="8">
      <c r="A8" s="5" t="s">
        <v>99</v>
      </c>
      <c r="B8" s="10" t="str">
        <f>'통계표'!$B$10</f>
        <v>0.1111111111111111</v>
      </c>
      <c r="C8" s="10" t="str">
        <f>'통계표'!$G$10</f>
        <v>0.6</v>
      </c>
      <c r="D8" s="10" t="str">
        <f>'통계표'!$L$10</f>
        <v>0.3333333333333333</v>
      </c>
      <c r="E8" s="10" t="str">
        <f>'통계표'!$Q$10</f>
        <v>0.3333333333333333</v>
      </c>
      <c r="F8" s="10" t="str">
        <f>'통계표'!$V$10</f>
        <v>0.3333333333333333</v>
      </c>
      <c r="G8" s="10" t="str">
        <f>'통계표'!$AA$10</f>
        <v>0.25</v>
      </c>
      <c r="H8" s="10" t="str">
        <f>'통계표'!$AF$10</f>
        <v>0</v>
      </c>
      <c r="I8" s="10" t="str">
        <f>'통계표'!$AK$10</f>
        <v>0</v>
      </c>
      <c r="J8" s="10" t="str">
        <f>'통계표'!$AP$10</f>
        <v>0</v>
      </c>
      <c r="K8" s="10" t="str">
        <f>'통계표'!$AU$10</f>
        <v>0</v>
      </c>
      <c r="L8" s="10" t="str">
        <f>'통계표'!$AZ$10</f>
        <v>0</v>
      </c>
      <c r="M8" s="10" t="str">
        <f>'통계표'!$BE$10</f>
        <v>0.6666666666666666</v>
      </c>
      <c r="N8" s="10" t="str">
        <f>'통계표'!$BJ$10</f>
        <v>0.3333333333333333</v>
      </c>
      <c r="O8" s="10" t="str">
        <f>'통계표'!$BO$10</f>
        <v>0.25</v>
      </c>
    </row>
    <row r="9">
      <c r="A9" s="5" t="s">
        <v>100</v>
      </c>
      <c r="B9" s="10" t="str">
        <f>'통계표'!$B$11</f>
        <v>0.4444444444444444</v>
      </c>
      <c r="C9" s="10" t="str">
        <f>'통계표'!$G$11</f>
        <v>0</v>
      </c>
      <c r="D9" s="10" t="str">
        <f>'통계표'!$L$11</f>
        <v>0</v>
      </c>
      <c r="E9" s="10" t="str">
        <f>'통계표'!$Q$11</f>
        <v>0.5</v>
      </c>
      <c r="F9" s="10" t="str">
        <f>'통계표'!$V$11</f>
        <v>0.4</v>
      </c>
      <c r="G9" s="10" t="str">
        <f>'통계표'!$AA$11</f>
        <v>0.25</v>
      </c>
      <c r="H9" s="10" t="str">
        <f>'통계표'!$AF$11</f>
        <v>0</v>
      </c>
      <c r="I9" s="10" t="str">
        <f>'통계표'!$AK$11</f>
        <v>0</v>
      </c>
      <c r="J9" s="10" t="str">
        <f>'통계표'!$AP$11</f>
        <v>0.2</v>
      </c>
      <c r="K9" s="10" t="str">
        <f>'통계표'!$AU$11</f>
        <v>0</v>
      </c>
      <c r="L9" s="10" t="str">
        <f>'통계표'!$AZ$11</f>
        <v>0</v>
      </c>
      <c r="M9" s="10" t="str">
        <f>'통계표'!$BE$11</f>
        <v>0</v>
      </c>
      <c r="N9" s="10" t="str">
        <f>'통계표'!$BJ$11</f>
        <v>0.6666666666666666</v>
      </c>
      <c r="O9" s="10" t="str">
        <f>'통계표'!$BO$11</f>
        <v>0.3333333333333333</v>
      </c>
    </row>
    <row r="10">
      <c r="A10" s="5" t="s">
        <v>101</v>
      </c>
      <c r="B10" s="10" t="str">
        <f>'통계표'!$B$12</f>
        <v>0.2857142857142857</v>
      </c>
      <c r="C10" s="10" t="str">
        <f>'통계표'!$G$12</f>
        <v>0</v>
      </c>
      <c r="D10" s="10" t="str">
        <f>'통계표'!$L$12</f>
        <v>0</v>
      </c>
      <c r="E10" s="10" t="str">
        <f>'통계표'!$Q$12</f>
        <v>0</v>
      </c>
      <c r="F10" s="10" t="str">
        <f>'통계표'!$V$12</f>
        <v>0</v>
      </c>
      <c r="H10" s="10" t="str">
        <f>'통계표'!$AF$12</f>
        <v>1</v>
      </c>
      <c r="I10" s="10" t="str">
        <f>'통계표'!$AK$12</f>
        <v>0.3333333333333333</v>
      </c>
      <c r="J10" s="10" t="str">
        <f>'통계표'!$AP$12</f>
        <v>0.5</v>
      </c>
      <c r="K10" s="10" t="str">
        <f>'통계표'!$AU$12</f>
        <v>0.5</v>
      </c>
      <c r="L10" s="10" t="str">
        <f>'통계표'!$AZ$12</f>
        <v>0.5</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K11" s="10" t="str">
        <f>'통계표'!$AU$13</f>
        <v>0</v>
      </c>
      <c r="O11" s="10" t="str">
        <f>'통계표'!$BO$13</f>
        <v>0.16666666666666666</v>
      </c>
    </row>
    <row r="12">
      <c r="A12" s="5" t="s">
        <v>103</v>
      </c>
      <c r="B12" s="10" t="str">
        <f>'통계표'!$B$14</f>
        <v>0.5</v>
      </c>
      <c r="D12" s="10" t="str">
        <f>'통계표'!$L$14</f>
        <v>0</v>
      </c>
      <c r="E12" s="10" t="str">
        <f>'통계표'!$Q$14</f>
        <v>0.6666666666666666</v>
      </c>
      <c r="I12" s="10" t="str">
        <f>'통계표'!$AK$14</f>
        <v>0</v>
      </c>
      <c r="J12" s="10" t="str">
        <f>'통계표'!$AP$14</f>
        <v>0</v>
      </c>
      <c r="K12" s="10" t="str">
        <f>'통계표'!$AU$14</f>
        <v>0</v>
      </c>
      <c r="L12" s="10" t="str">
        <f>'통계표'!$AZ$14</f>
        <v>1</v>
      </c>
      <c r="M12" s="10" t="str">
        <f>'통계표'!$BE$14</f>
        <v>0</v>
      </c>
      <c r="N12" s="10" t="str">
        <f>'통계표'!$BJ$14</f>
        <v>0.5</v>
      </c>
      <c r="O12" s="10" t="str">
        <f>'통계표'!$BO$14</f>
        <v>0</v>
      </c>
    </row>
    <row r="13">
      <c r="A13" s="5" t="s">
        <v>104</v>
      </c>
      <c r="B13" s="10" t="str">
        <f>'통계표'!$B$15</f>
        <v>0</v>
      </c>
      <c r="C13" s="10" t="str">
        <f>'통계표'!$G$15</f>
        <v>0</v>
      </c>
      <c r="D13" s="10" t="str">
        <f>'통계표'!$L$15</f>
        <v>0</v>
      </c>
      <c r="E13" s="10" t="str">
        <f>'통계표'!$Q$15</f>
        <v>0</v>
      </c>
      <c r="G13" s="10" t="str">
        <f>'통계표'!$AA$15</f>
        <v>1</v>
      </c>
      <c r="H13" s="10" t="str">
        <f>'통계표'!$AF$15</f>
        <v>0</v>
      </c>
      <c r="I13" s="10" t="str">
        <f>'통계표'!$AK$15</f>
        <v>0</v>
      </c>
      <c r="K13" s="10" t="str">
        <f>'통계표'!$AU$15</f>
        <v>0</v>
      </c>
      <c r="L13" s="10" t="str">
        <f>'통계표'!$AZ$15</f>
        <v>0</v>
      </c>
      <c r="M13" s="10" t="str">
        <f>'통계표'!$BE$15</f>
        <v>0</v>
      </c>
      <c r="O13" s="10" t="str">
        <f>'통계표'!$BO$15</f>
        <v>0.3333333333333333</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K14" s="10" t="str">
        <f>'통계표'!$AU$16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L15" s="10" t="str">
        <f>'통계표'!$AZ$17</f>
        <v>0</v>
      </c>
      <c r="M15" s="10" t="str">
        <f>'통계표'!$BE$17</f>
        <v>0</v>
      </c>
      <c r="N15" s="10" t="str">
        <f>'통계표'!$BJ$17</f>
        <v>0</v>
      </c>
      <c r="O15" s="10" t="str">
        <f>'통계표'!$BO$17</f>
        <v>0</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128</v>
      </c>
    </row>
    <row r="3">
      <c r="A3" s="8" t="s">
        <v>129</v>
      </c>
      <c r="B3" s="2" t="s">
        <v>130</v>
      </c>
    </row>
    <row r="4">
      <c r="A4" s="8" t="s">
        <v>131</v>
      </c>
      <c r="B4" s="2" t="s">
        <v>132</v>
      </c>
    </row>
    <row r="5">
      <c r="A5" s="8" t="s">
        <v>133</v>
      </c>
      <c r="B5" s="2" t="s">
        <v>134</v>
      </c>
    </row>
    <row r="6">
      <c r="A6" s="8" t="s">
        <v>135</v>
      </c>
      <c r="B6" s="2" t="s">
        <v>136</v>
      </c>
    </row>
    <row r="7">
      <c r="A7" s="8" t="s">
        <v>137</v>
      </c>
      <c r="B7" s="2" t="s">
        <v>138</v>
      </c>
    </row>
    <row r="8">
      <c r="A8" s="8" t="s">
        <v>139</v>
      </c>
      <c r="B8" s="2" t="s">
        <v>140</v>
      </c>
    </row>
    <row r="9">
      <c r="A9" s="8" t="s">
        <v>141</v>
      </c>
      <c r="B9" s="2" t="s">
        <v>3</v>
      </c>
    </row>
    <row r="10">
      <c r="A10" s="8" t="s">
        <v>142</v>
      </c>
      <c r="B10" s="2" t="s">
        <v>143</v>
      </c>
    </row>
    <row r="11">
      <c r="A11" s="8" t="s">
        <v>144</v>
      </c>
      <c r="B11" s="2" t="s">
        <v>145</v>
      </c>
    </row>
    <row r="12">
      <c r="A12" s="8" t="s">
        <v>146</v>
      </c>
      <c r="B12" s="2" t="s">
        <v>147</v>
      </c>
    </row>
    <row r="13">
      <c r="A13" s="8" t="s">
        <v>148</v>
      </c>
      <c r="B13" s="2" t="s">
        <v>149</v>
      </c>
    </row>
    <row r="14">
      <c r="A14" s="8" t="s">
        <v>150</v>
      </c>
      <c r="B14" s="2" t="s">
        <v>151</v>
      </c>
    </row>
    <row r="15">
      <c r="A15" s="8" t="s">
        <v>152</v>
      </c>
      <c r="B15" s="2" t="s">
        <v>153</v>
      </c>
    </row>
    <row r="16">
      <c r="A16" s="8" t="s">
        <v>154</v>
      </c>
      <c r="B16" s="2" t="s">
        <v>155</v>
      </c>
    </row>
    <row r="17">
      <c r="A17" s="8" t="s">
        <v>156</v>
      </c>
      <c r="B17" s="2" t="s">
        <v>157</v>
      </c>
    </row>
    <row r="18">
      <c r="A18" s="8" t="s">
        <v>158</v>
      </c>
      <c r="B18" s="2" t="s">
        <v>159</v>
      </c>
    </row>
    <row r="19">
      <c r="A19" s="8" t="s">
        <v>160</v>
      </c>
      <c r="B19" s="2" t="s">
        <v>161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2026-10-03T15:24:37.074Z</dcterms:created>
  <dcterms:modified xsi:type="dcterms:W3CDTF">2026-10-03T15:24:37.074Z</dcterms:modified>
</coreProperties>
</file>
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tiff" ContentType="image/tiff"/>
  <Default Extension="wmf" ContentType="image/x-wmf"/>
  <Default Extension="emz" ContentType="image/x-emz"/>
  <Default Extension="ico" ContentType="image/x-ico"/>
  <Default Extension="jpeg" ContentType="image/jpeg"/>
  <Default Extension="png" ContentType="image/png"/>
  <Default Extension="gif" ContentType="image/gif"/>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<sst xmlns="http://schemas.openxmlformats.org/spreadsheetml/2006/main" count="64" uniqueCount="64">
  <si>
    <t>월별 추이 · 처리결과 비율</t>
  </si>
  <si>
    <t>2026-10-04 00:24:44 (한국 시간)에 내려받은 결과입니다. 조건은 ‘조회 조건’ 시트에 있습니다.</t>
  </si>
  <si>
    <t/>
  </si>
  <si>
    <t>답변월</t>
  </si>
  <si>
    <t>건수</t>
  </si>
  <si>
    <t>건수 · 신고(건, 답변월)</t>
  </si>
  <si>
    <t>건수 ·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</si>
  <si>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</si>
  <si>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</si>
  <si>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</si>
  <si>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</si>
  <si>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</si>
  <si>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</si>
  <si>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</si>
  <si>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</si>
  <si>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</si>
  <si>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</si>
  <si>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</si>
  <si>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</si>
  <si>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</si>
  <si>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</si>
  <si>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</si>
  <si>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</si>
  <si>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</si>
  <si>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</si>
  <si>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</si>
  <si>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수용률·과태료 부과율</t>
  </si>
  <si>
    <t>수용률 · 전체</t>
  </si>
  <si>
    <t>과태료 부과율 · 전체</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</si>
  <si>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</si>
  <si>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</si>
  <si>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</si>
  <si>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</si>
  <si>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</si>
  <si>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</si>
  <si>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</si>
  <si>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</si>
  <si>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</si>
  <si>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</si>
  <si>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</si>
  <si>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</si>
  <si>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</si>
  <si>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</si>
  <si>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</si>
  <si>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</si>
  <si>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00:24:44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</si>
  <si>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</si>
  <si>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</si>
  <si>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</si>
  <si>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</si>
  <si>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</si>
  <si>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</si>
  <si>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</si>
  <si>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</si>
  <si>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</si>
  <si>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과태료 부과율)</t>
  </si>
  <si>
    <t>내 신고</t>
  </si>
  <si>
    <t>넣지 않음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</si>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</sst>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데이터'!$C$6:$C$18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45931</v>
      </c>
      <c r="B6" s="9">
        <v>20</v>
      </c>
      <c r="C6" s="9">
        <v>20</v>
      </c>
      <c r="D6" s="9">
        <v>15</v>
      </c>
      <c r="E6" s="9">
        <v>10</v>
      </c>
      <c r="F6" s="9">
        <v>0</v>
      </c>
      <c r="G6" s="9">
        <v>5</v>
      </c>
      <c r="H6" s="9">
        <v>7</v>
      </c>
      <c r="I6" s="10" t="str">
        <f>E6/D6</f>
        <v>0.6666666666666666</v>
      </c>
      <c r="J6" s="10" t="str">
        <f>G6/D6</f>
        <v>0.3333333333333333</v>
      </c>
      <c r="K6" s="10" t="str">
        <f>F6/D6</f>
        <v>0</v>
      </c>
      <c r="L6" s="10" t="str">
        <f>H6/C6</f>
        <v>0.35</v>
      </c>
      <c r="M6" s="5" t="s">
        <v>18</v>
      </c>
    </row>
    <row r="7">
      <c r="A7" s="14">
        <v>45962</v>
      </c>
      <c r="B7" s="9">
        <v>27</v>
      </c>
      <c r="C7" s="9">
        <v>27</v>
      </c>
      <c r="D7" s="9">
        <v>24</v>
      </c>
      <c r="E7" s="9">
        <v>14</v>
      </c>
      <c r="F7" s="9">
        <v>6</v>
      </c>
      <c r="G7" s="9">
        <v>4</v>
      </c>
      <c r="H7" s="9">
        <v>8</v>
      </c>
      <c r="I7" s="10" t="str">
        <f>E7/D7</f>
        <v>0.5833333333333334</v>
      </c>
      <c r="J7" s="10" t="str">
        <f>G7/D7</f>
        <v>0.16666666666666666</v>
      </c>
      <c r="K7" s="10" t="str">
        <f>F7/D7</f>
        <v>0.25</v>
      </c>
      <c r="L7" s="10" t="str">
        <f>H7/C7</f>
        <v>0.2962962962962963</v>
      </c>
    </row>
    <row r="8">
      <c r="A8" s="14">
        <v>45992</v>
      </c>
      <c r="B8" s="9">
        <v>20</v>
      </c>
      <c r="C8" s="9">
        <v>20</v>
      </c>
      <c r="D8" s="9">
        <v>19</v>
      </c>
      <c r="E8" s="9">
        <v>12</v>
      </c>
      <c r="F8" s="9">
        <v>3</v>
      </c>
      <c r="G8" s="9">
        <v>4</v>
      </c>
      <c r="H8" s="9">
        <v>7</v>
      </c>
      <c r="I8" s="10" t="str">
        <f>E8/D8</f>
        <v>0.631578947368421</v>
      </c>
      <c r="J8" s="10" t="str">
        <f>G8/D8</f>
        <v>0.21052631578947367</v>
      </c>
      <c r="K8" s="10" t="str">
        <f>F8/D8</f>
        <v>0.15789473684210525</v>
      </c>
      <c r="L8" s="10" t="str">
        <f>H8/C8</f>
        <v>0.35</v>
      </c>
    </row>
    <row r="9">
      <c r="A9" s="14">
        <v>46023</v>
      </c>
      <c r="B9" s="9">
        <v>22</v>
      </c>
      <c r="C9" s="9">
        <v>22</v>
      </c>
      <c r="D9" s="9">
        <v>19</v>
      </c>
      <c r="E9" s="9">
        <v>13</v>
      </c>
      <c r="F9" s="9">
        <v>1</v>
      </c>
      <c r="G9" s="9">
        <v>5</v>
      </c>
      <c r="H9" s="9">
        <v>6</v>
      </c>
      <c r="I9" s="10" t="str">
        <f>E9/D9</f>
        <v>0.6842105263157895</v>
      </c>
      <c r="J9" s="10" t="str">
        <f>G9/D9</f>
        <v>0.2631578947368421</v>
      </c>
      <c r="K9" s="10" t="str">
        <f>F9/D9</f>
        <v>0.05263157894736842</v>
      </c>
      <c r="L9" s="10" t="str">
        <f>H9/C9</f>
        <v>0.2727272727272727</v>
      </c>
    </row>
    <row r="10">
      <c r="A10" s="14">
        <v>46054</v>
      </c>
      <c r="B10" s="9">
        <v>20</v>
      </c>
      <c r="C10" s="9">
        <v>20</v>
      </c>
      <c r="D10" s="9">
        <v>18</v>
      </c>
      <c r="E10" s="9">
        <v>12</v>
      </c>
      <c r="F10" s="9">
        <v>3</v>
      </c>
      <c r="G10" s="9">
        <v>3</v>
      </c>
      <c r="H10" s="9">
        <v>11</v>
      </c>
      <c r="I10" s="10" t="str">
        <f>E10/D10</f>
        <v>0.6666666666666666</v>
      </c>
      <c r="J10" s="10" t="str">
        <f>G10/D10</f>
        <v>0.16666666666666666</v>
      </c>
      <c r="K10" s="10" t="str">
        <f>F10/D10</f>
        <v>0.16666666666666666</v>
      </c>
      <c r="L10" s="10" t="str">
        <f>H10/C10</f>
        <v>0.55</v>
      </c>
    </row>
    <row r="11">
      <c r="A11" s="14">
        <v>46082</v>
      </c>
      <c r="B11" s="9">
        <v>25</v>
      </c>
      <c r="C11" s="9">
        <v>25</v>
      </c>
      <c r="D11" s="9">
        <v>19</v>
      </c>
      <c r="E11" s="9">
        <v>12</v>
      </c>
      <c r="F11" s="9">
        <v>3</v>
      </c>
      <c r="G11" s="9">
        <v>4</v>
      </c>
      <c r="H11" s="9">
        <v>5</v>
      </c>
      <c r="I11" s="10" t="str">
        <f>E11/D11</f>
        <v>0.631578947368421</v>
      </c>
      <c r="J11" s="10" t="str">
        <f>G11/D11</f>
        <v>0.21052631578947367</v>
      </c>
      <c r="K11" s="10" t="str">
        <f>F11/D11</f>
        <v>0.15789473684210525</v>
      </c>
      <c r="L11" s="10" t="str">
        <f>H11/C11</f>
        <v>0.2</v>
      </c>
    </row>
    <row r="12">
      <c r="A12" s="14">
        <v>46113</v>
      </c>
      <c r="B12" s="9">
        <v>32</v>
      </c>
      <c r="C12" s="9">
        <v>32</v>
      </c>
      <c r="D12" s="9">
        <v>29</v>
      </c>
      <c r="E12" s="9">
        <v>21</v>
      </c>
      <c r="F12" s="9">
        <v>1</v>
      </c>
      <c r="G12" s="9">
        <v>7</v>
      </c>
      <c r="H12" s="9">
        <v>10</v>
      </c>
      <c r="I12" s="10" t="str">
        <f>E12/D12</f>
        <v>0.7241379310344828</v>
      </c>
      <c r="J12" s="10" t="str">
        <f>G12/D12</f>
        <v>0.2413793103448276</v>
      </c>
      <c r="K12" s="10" t="str">
        <f>F12/D12</f>
        <v>0.034482758620689655</v>
      </c>
      <c r="L12" s="10" t="str">
        <f>H12/C12</f>
        <v>0.3125</v>
      </c>
    </row>
    <row r="13">
      <c r="A13" s="14">
        <v>46143</v>
      </c>
      <c r="B13" s="9">
        <v>22</v>
      </c>
      <c r="C13" s="9">
        <v>22</v>
      </c>
      <c r="D13" s="9">
        <v>20</v>
      </c>
      <c r="E13" s="9">
        <v>8</v>
      </c>
      <c r="F13" s="9">
        <v>1</v>
      </c>
      <c r="G13" s="9">
        <v>11</v>
      </c>
      <c r="H13" s="9">
        <v>2</v>
      </c>
      <c r="I13" s="10" t="str">
        <f>E13/D13</f>
        <v>0.4</v>
      </c>
      <c r="J13" s="10" t="str">
        <f>G13/D13</f>
        <v>0.55</v>
      </c>
      <c r="K13" s="10" t="str">
        <f>F13/D13</f>
        <v>0.05</v>
      </c>
      <c r="L13" s="10" t="str">
        <f>H13/C13</f>
        <v>0.09090909090909091</v>
      </c>
    </row>
    <row r="14">
      <c r="A14" s="14">
        <v>46174</v>
      </c>
      <c r="B14" s="9">
        <v>18</v>
      </c>
      <c r="C14" s="9">
        <v>18</v>
      </c>
      <c r="D14" s="9">
        <v>15</v>
      </c>
      <c r="E14" s="9">
        <v>7</v>
      </c>
      <c r="F14" s="9">
        <v>2</v>
      </c>
      <c r="G14" s="9">
        <v>6</v>
      </c>
      <c r="H14" s="9">
        <v>1</v>
      </c>
      <c r="I14" s="10" t="str">
        <f>E14/D14</f>
        <v>0.4666666666666667</v>
      </c>
      <c r="J14" s="10" t="str">
        <f>G14/D14</f>
        <v>0.4</v>
      </c>
      <c r="K14" s="10" t="str">
        <f>F14/D14</f>
        <v>0.13333333333333333</v>
      </c>
      <c r="L14" s="10" t="str">
        <f>H14/C14</f>
        <v>0.05555555555555555</v>
      </c>
    </row>
    <row r="15">
      <c r="A15" s="14">
        <v>46204</v>
      </c>
      <c r="B15" s="9">
        <v>34</v>
      </c>
      <c r="C15" s="9">
        <v>34</v>
      </c>
      <c r="D15" s="9">
        <v>32</v>
      </c>
      <c r="E15" s="9">
        <v>19</v>
      </c>
      <c r="F15" s="9">
        <v>7</v>
      </c>
      <c r="G15" s="9">
        <v>6</v>
      </c>
      <c r="H15" s="9">
        <v>9</v>
      </c>
      <c r="I15" s="10" t="str">
        <f>E15/D15</f>
        <v>0.59375</v>
      </c>
      <c r="J15" s="10" t="str">
        <f>G15/D15</f>
        <v>0.1875</v>
      </c>
      <c r="K15" s="10" t="str">
        <f>F15/D15</f>
        <v>0.21875</v>
      </c>
      <c r="L15" s="10" t="str">
        <f>H15/C15</f>
        <v>0.2647058823529412</v>
      </c>
    </row>
    <row r="16">
      <c r="A16" s="14">
        <v>46235</v>
      </c>
      <c r="B16" s="9">
        <v>23</v>
      </c>
      <c r="C16" s="9">
        <v>23</v>
      </c>
      <c r="D16" s="9">
        <v>19</v>
      </c>
      <c r="E16" s="9">
        <v>9</v>
      </c>
      <c r="F16" s="9">
        <v>5</v>
      </c>
      <c r="G16" s="9">
        <v>5</v>
      </c>
      <c r="H16" s="9">
        <v>6</v>
      </c>
      <c r="I16" s="10" t="str">
        <f>E16/D16</f>
        <v>0.47368421052631576</v>
      </c>
      <c r="J16" s="10" t="str">
        <f>G16/D16</f>
        <v>0.2631578947368421</v>
      </c>
      <c r="K16" s="10" t="str">
        <f>F16/D16</f>
        <v>0.2631578947368421</v>
      </c>
      <c r="L16" s="10" t="str">
        <f>H16/C16</f>
        <v>0.2608695652173913</v>
      </c>
    </row>
    <row r="17">
      <c r="A17" s="14">
        <v>46266</v>
      </c>
      <c r="B17" s="9">
        <v>145</v>
      </c>
      <c r="C17" s="9">
        <v>145</v>
      </c>
      <c r="D17" s="9">
        <v>112</v>
      </c>
      <c r="E17" s="9">
        <v>46</v>
      </c>
      <c r="F17" s="9">
        <v>33</v>
      </c>
      <c r="G17" s="9">
        <v>33</v>
      </c>
      <c r="H17" s="9">
        <v>48</v>
      </c>
      <c r="I17" s="10" t="str">
        <f>E17/D17</f>
        <v>0.4107142857142857</v>
      </c>
      <c r="J17" s="10" t="str">
        <f>G17/D17</f>
        <v>0.29464285714285715</v>
      </c>
      <c r="K17" s="10" t="str">
        <f>F17/D17</f>
        <v>0.29464285714285715</v>
      </c>
      <c r="L17" s="10" t="str">
        <f>H17/C17</f>
        <v>0.3310344827586207</v>
      </c>
      <c r="M17" s="5" t="s">
        <v>19</v>
      </c>
    </row>
    <row r="18">
      <c r="A18" s="14">
        <v>46296</v>
      </c>
      <c r="I18" s="7" t="s">
        <v>20</v>
      </c>
      <c r="J18" s="7" t="s">
        <v>20</v>
      </c>
      <c r="K18" s="7" t="s">
        <v>20</v>
      </c>
      <c r="L18" s="7" t="s">
        <v>20</v>
      </c>
      <c r="M18" s="5" t="s">
        <v>21</v>
      </c>
    </row>
    <row r="20">
      <c r="A20" s="3" t="s">
        <v>22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25</v>
      </c>
    </row>
    <row r="3">
      <c r="A3" s="8" t="s">
        <v>26</v>
      </c>
    </row>
    <row r="4">
      <c r="A4" s="3" t="s">
        <v>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23</v>
      </c>
    </row>
    <row r="2">
      <c r="A2" s="3" t="s">
        <v>24</v>
      </c>
    </row>
    <row r="4">
      <c r="A4" s="8" t="s">
        <v>26</v>
      </c>
    </row>
    <row r="5">
      <c r="A5" s="4" t="s">
        <v>3</v>
      </c>
      <c r="B5" s="4" t="s">
        <v>27</v>
      </c>
      <c r="C5" s="4" t="s">
        <v>28</v>
      </c>
    </row>
    <row r="6">
      <c r="A6" s="5" t="s">
        <v>29</v>
      </c>
      <c r="B6" s="10" t="str">
        <f>'통계표'!$I$6</f>
        <v>0.6666666666666666</v>
      </c>
      <c r="C6" s="10" t="str">
        <f>'통계표'!$L$6</f>
        <v>0.35</v>
      </c>
    </row>
    <row r="7">
      <c r="A7" s="5" t="s">
        <v>30</v>
      </c>
      <c r="B7" s="10" t="str">
        <f>'통계표'!$I$7</f>
        <v>0.5833333333333334</v>
      </c>
      <c r="C7" s="10" t="str">
        <f>'통계표'!$L$7</f>
        <v>0.2962962962962963</v>
      </c>
    </row>
    <row r="8">
      <c r="A8" s="5" t="s">
        <v>31</v>
      </c>
      <c r="B8" s="10" t="str">
        <f>'통계표'!$I$8</f>
        <v>0.631578947368421</v>
      </c>
      <c r="C8" s="10" t="str">
        <f>'통계표'!$L$8</f>
        <v>0.35</v>
      </c>
    </row>
    <row r="9">
      <c r="A9" s="5" t="s">
        <v>32</v>
      </c>
      <c r="B9" s="10" t="str">
        <f>'통계표'!$I$9</f>
        <v>0.6842105263157895</v>
      </c>
      <c r="C9" s="10" t="str">
        <f>'통계표'!$L$9</f>
        <v>0.2727272727272727</v>
      </c>
    </row>
    <row r="10">
      <c r="A10" s="5" t="s">
        <v>33</v>
      </c>
      <c r="B10" s="10" t="str">
        <f>'통계표'!$I$10</f>
        <v>0.6666666666666666</v>
      </c>
      <c r="C10" s="10" t="str">
        <f>'통계표'!$L$10</f>
        <v>0.55</v>
      </c>
    </row>
    <row r="11">
      <c r="A11" s="5" t="s">
        <v>34</v>
      </c>
      <c r="B11" s="10" t="str">
        <f>'통계표'!$I$11</f>
        <v>0.631578947368421</v>
      </c>
      <c r="C11" s="10" t="str">
        <f>'통계표'!$L$11</f>
        <v>0.2</v>
      </c>
    </row>
    <row r="12">
      <c r="A12" s="5" t="s">
        <v>35</v>
      </c>
      <c r="B12" s="10" t="str">
        <f>'통계표'!$I$12</f>
        <v>0.7241379310344828</v>
      </c>
      <c r="C12" s="10" t="str">
        <f>'통계표'!$L$12</f>
        <v>0.3125</v>
      </c>
    </row>
    <row r="13">
      <c r="A13" s="5" t="s">
        <v>36</v>
      </c>
      <c r="B13" s="10" t="str">
        <f>'통계표'!$I$13</f>
        <v>0.4</v>
      </c>
      <c r="C13" s="10" t="str">
        <f>'통계표'!$L$13</f>
        <v>0.09090909090909091</v>
      </c>
    </row>
    <row r="14">
      <c r="A14" s="5" t="s">
        <v>37</v>
      </c>
      <c r="B14" s="10" t="str">
        <f>'통계표'!$I$14</f>
        <v>0.4666666666666667</v>
      </c>
      <c r="C14" s="10" t="str">
        <f>'통계표'!$L$14</f>
        <v>0.05555555555555555</v>
      </c>
    </row>
    <row r="15">
      <c r="A15" s="5" t="s">
        <v>38</v>
      </c>
      <c r="B15" s="10" t="str">
        <f>'통계표'!$I$15</f>
        <v>0.59375</v>
      </c>
      <c r="C15" s="10" t="str">
        <f>'통계표'!$L$15</f>
        <v>0.2647058823529412</v>
      </c>
    </row>
    <row r="16">
      <c r="A16" s="5" t="s">
        <v>39</v>
      </c>
      <c r="B16" s="10" t="str">
        <f>'통계표'!$I$16</f>
        <v>0.47368421052631576</v>
      </c>
      <c r="C16" s="10" t="str">
        <f>'통계표'!$L$16</f>
        <v>0.2608695652173913</v>
      </c>
    </row>
    <row r="17">
      <c r="A17" s="5" t="s">
        <v>40</v>
      </c>
      <c r="B17" s="10" t="str">
        <f>'통계표'!$I$17</f>
        <v>0.4107142857142857</v>
      </c>
      <c r="C17" s="10" t="str">
        <f>'통계표'!$L$17</f>
        <v>0.3310344827586207</v>
      </c>
    </row>
    <row r="18">
      <c r="A18" s="5" t="s">
        <v>41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43</v>
      </c>
    </row>
    <row r="3">
      <c r="A3" s="8" t="s">
        <v>44</v>
      </c>
      <c r="B3" s="2" t="s">
        <v>45</v>
      </c>
    </row>
    <row r="4">
      <c r="A4" s="8" t="s">
        <v>46</v>
      </c>
      <c r="B4" s="2" t="s">
        <v>47</v>
      </c>
    </row>
    <row r="5">
      <c r="A5" s="8" t="s">
        <v>48</v>
      </c>
      <c r="B5" s="2" t="s">
        <v>49</v>
      </c>
    </row>
    <row r="6">
      <c r="A6" s="8" t="s">
        <v>50</v>
      </c>
      <c r="B6" s="2" t="s">
        <v>51</v>
      </c>
    </row>
    <row r="7">
      <c r="A7" s="8" t="s">
        <v>46</v>
      </c>
      <c r="B7" s="2" t="s">
        <v>47</v>
      </c>
    </row>
    <row r="8">
      <c r="A8" s="8" t="s">
        <v>52</v>
      </c>
      <c r="B8" s="2" t="s">
        <v>53</v>
      </c>
    </row>
    <row r="9">
      <c r="A9" s="8" t="s">
        <v>54</v>
      </c>
      <c r="B9" s="2" t="s">
        <v>55</v>
      </c>
    </row>
    <row r="10">
      <c r="A10" s="8" t="s">
        <v>56</v>
      </c>
      <c r="B10" s="2" t="s">
        <v>57</v>
      </c>
    </row>
    <row r="11">
      <c r="A11" s="8" t="s">
        <v>58</v>
      </c>
      <c r="B11" s="2" t="s">
        <v>59</v>
      </c>
    </row>
    <row r="12">
      <c r="A12" s="8" t="s">
        <v>60</v>
      </c>
      <c r="B12" s="2" t="s">
        <v>61</v>
      </c>
    </row>
    <row r="13">
      <c r="A13" s="8" t="s">
        <v>62</v>
      </c>
      <c r="B13" s="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2026-10-03T15:24:44.628Z</dcterms:created>
  <dcterms:modified xsi:type="dcterms:W3CDTF">2026-10-03T15:24:44.628Z</dcterms:modified>
</coreProperties>
</file>
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gif" ContentType="image/gif"/>
  <Default Extension="svg" ContentType="image/svg"/>
  <Default Extension="tiff" ContentType="image/tiff"/>
  <Default Extension="emf" ContentType="image/x-emf"/>
  <Default Extension="wmf" ContentType="image/x-wmf"/>
  <Default Extension="wmz" ContentType="image/x-wmz"/>
  <Default Extension="jpeg" ContentType="image/jpeg"/>
  <Default Extension="png" ContentType="image/png"/>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<sst xmlns="http://schemas.openxmlformats.org/spreadsheetml/2006/main" count="73" uniqueCount="73">
  <si>
    <t>월별 추이 · 건수</t>
  </si>
  <si>
    <t>2026-09-30 00:14:38 (한국 시간)에 내려받은 결과입니다. 조건은 ‘조회 조건’ 시트에 있습니다.</t>
  </si>
  <si>
    <t/>
  </si>
  <si>
    <t>답변월</t>
  </si>
  <si>
    <t>건수</t>
  </si>
  <si>
    <t>건수 · 신고(건, 답변월)</t>
  </si>
  <si>
    <t>건수 · 답변 완료(건, 같은 신고 · 답변월)</t>
  </si>
  <si>
    <t>건수 · 내 신고(건, 답변월)</t>
  </si>
  <si>
    <t>건수 · 내 답변 완료(건, 답변월)</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</si>
  <si>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</si>
  <si>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</si>
  <si>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</si>
  <si>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</si>
  <si>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</si>
  <si>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</si>
  <si>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</si>
  <si>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</si>
  <si>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</si>
  <si>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</si>
  <si>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내 신고</t>
  </si>
  <si>
    <t>내 신고 · 결과 나온 신고(건)</t>
  </si>
  <si>
    <t>내 신고 · 수용(건)</t>
  </si>
  <si>
    <t>내 신고 · 일부 수용(건)</t>
  </si>
  <si>
    <t>내 신고 · 불수용(건)</t>
  </si>
  <si>
    <t>내 신고 · 과태료 처분(건)</t>
  </si>
  <si>
    <t>내 신고 · 수용률 (수용 ÷ 결과 나온 신고)</t>
  </si>
  <si>
    <t>내 신고 · 불수용률 (불수용 ÷ 결과 나온 신고)</t>
  </si>
  <si>
    <t>내 신고 · 일부수용률 (일부 수용 ÷ 결과 나온 신고)</t>
  </si>
  <si>
    <t>내 신고 · 과태료 부과율 (과태료 처분 ÷ 답변 완료)</t>
  </si>
  <si>
    <t>비고</t>
  </si>
  <si>
    <t>이번 달 진행 중 · 자료 마지막 월(09.24까지)</t>
  </si>
  <si>
    <t>비율은 같은 줄의 ‘해당 건수 ÷ 기준 건수’로 계산하는 수식입니다. 월 칸은 날짜 값이라 정렬하거나 계산할 수 있습니다.</t>
  </si>
  <si>
    <t>비고에 ‘이번 달 진행 중’(오늘 기준)과 ‘일부 기간’(기간의 첫·마지막 달)을 적었습니다. 그런 달은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</si>
  <si>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</si>
  <si>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</si>
  <si>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건수 · 차트</t>
  </si>
  <si>
    <t>답변월별 신고·답변 건수</t>
  </si>
  <si>
    <t>신고</t>
  </si>
  <si>
    <t>답변 완료</t>
  </si>
  <si>
    <t>2025-10</t>
  </si>
  <si>
    <t>2025-11</t>
  </si>
  <si>
    <t>2025-12</t>
  </si>
  <si>
    <t>2026-01</t>
  </si>
  <si>
    <t>2026-02</t>
  </si>
  <si>
    <t>2026-03</t>
  </si>
  <si>
    <t>2026-04</t>
  </si>
  <si>
    <t>2026-05</t>
  </si>
  <si>
    <t>2026-06</t>
  </si>
  <si>
    <t>2026-07</t>
  </si>
  <si>
    <t>2026-08</t>
  </si>
  <si>
    <t>2026-09</t>
  </si>
  <si>
    <t>답변월마다 그 달에 든 같은 신고의 건수입니다(신고와 답변 완료가 같은 신고 묶음). 신고가 없는 달은 0, 자료가 없는 달은 선을 끊었습니다.</t>
  </si>
  <si>
    <t>월별 추이 · 건수 · 조회 조건</t>
  </si>
  <si>
    <t>내려받은 시각</t>
  </si>
  <si>
    <t>2026-09-30 00:14:38 (한국 시간)</t>
  </si>
  <si>
    <t>자료 버전</t>
  </si>
  <si>
    <t>e2e-synthetic-1</t>
  </si>
  <si>
    <t>날짜 기준</t>
  </si>
  <si>
    <t>답변일 — 이 날짜가 기간 안인 신고만 모았습니다(다른 날짜는 기간 밖이어도 포함)</t>
  </si>
  <si>
    <t>기간</t>
  </si>
  <si>
    <t>2025-10-01 — 2026-09-30 (시작일·종료일 포함)</t>
  </si>
  <si>
    <t>e2e-synthetic-1 · 기준 규칙 single-date-v1</t>
  </si>
  <si>
    <t>대상 범위</t>
  </si>
  <si>
    <t>전국 · 모든 분류</t>
  </si>
  <si>
    <t>보기</t>
  </si>
  <si>
    <t>건수 (신고·답변)</t>
  </si>
  <si>
    <t>함께 넣음 (이 파일을 내려받은 계정의 신고)</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</si>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</sst>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데이터'!$A$6:$A$17</f>
            </strRef>
          </cat>
          <val>
            <numRef>
              <f>'차트 데이터'!$B$6:$B$17</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데이터'!$A$6:$A$17</f>
            </strRef>
          </cat>
          <val>
            <numRef>
              <f>'차트 데이터'!$C$6:$C$17</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데이터'!$A$6:$A$17</f>
            </strRef>
          </cat>
          <val>
            <numRef>
              <f>'차트 데이터'!$D$6:$D$17</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21</v>
      </c>
      <c r="C6" s="9">
        <v>21</v>
      </c>
      <c r="D6" s="9">
        <v>3</v>
      </c>
      <c r="E6" s="9">
        <v>3</v>
      </c>
      <c r="F6" s="9">
        <v>16</v>
      </c>
      <c r="G6" s="9">
        <v>11</v>
      </c>
      <c r="H6" s="9">
        <v>0</v>
      </c>
      <c r="I6" s="9">
        <v>5</v>
      </c>
      <c r="J6" s="9">
        <v>8</v>
      </c>
      <c r="K6" s="10" t="str">
        <f>G6/F6</f>
        <v>0.6875</v>
      </c>
      <c r="L6" s="10" t="str">
        <f>I6/F6</f>
        <v>0.3125</v>
      </c>
      <c r="M6" s="10" t="str">
        <f>H6/F6</f>
        <v>0</v>
      </c>
      <c r="N6" s="10" t="str">
        <f>J6/C6</f>
        <v>0.38095238095238093</v>
      </c>
      <c r="O6" s="9">
        <v>3</v>
      </c>
      <c r="P6" s="9">
        <v>3</v>
      </c>
      <c r="Q6" s="9">
        <v>0</v>
      </c>
      <c r="R6" s="9">
        <v>0</v>
      </c>
      <c r="S6" s="9">
        <v>2</v>
      </c>
      <c r="T6" s="10" t="str">
        <f>P6/O6</f>
        <v>1</v>
      </c>
      <c r="U6" s="10" t="str">
        <f>R6/O6</f>
        <v>0</v>
      </c>
      <c r="V6" s="10" t="str">
        <f>Q6/O6</f>
        <v>0</v>
      </c>
      <c r="W6" s="10" t="str">
        <f>S6/E6</f>
        <v>0.6666666666666666</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30</v>
      </c>
    </row>
    <row r="19">
      <c r="A19" s="3" t="s">
        <v>31</v>
      </c>
    </row>
    <row r="20">
      <c r="A20" s="3" t="s">
        <v>32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35</v>
      </c>
    </row>
    <row r="3">
      <c r="A3" s="8" t="s">
        <v>36</v>
      </c>
    </row>
    <row r="4">
      <c r="A4" s="3" t="s">
        <v>51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33</v>
      </c>
    </row>
    <row r="2">
      <c r="A2" s="3" t="s">
        <v>34</v>
      </c>
    </row>
    <row r="4">
      <c r="A4" s="8" t="s">
        <v>36</v>
      </c>
    </row>
    <row r="5">
      <c r="A5" s="4" t="s">
        <v>3</v>
      </c>
      <c r="B5" s="4" t="s">
        <v>37</v>
      </c>
      <c r="C5" s="4" t="s">
        <v>38</v>
      </c>
      <c r="D5" s="4" t="s">
        <v>19</v>
      </c>
    </row>
    <row r="6">
      <c r="A6" s="5" t="s">
        <v>39</v>
      </c>
      <c r="B6" s="9" t="str">
        <f>'통계표'!$B$6</f>
        <v>21</v>
      </c>
      <c r="C6" s="9" t="str">
        <f>'통계표'!$C$6</f>
        <v>21</v>
      </c>
      <c r="D6" s="9" t="str">
        <f>'통계표'!$D$6</f>
        <v>3</v>
      </c>
    </row>
    <row r="7">
      <c r="A7" s="5" t="s">
        <v>40</v>
      </c>
      <c r="B7" s="9" t="str">
        <f>'통계표'!$B$7</f>
        <v>27</v>
      </c>
      <c r="C7" s="9" t="str">
        <f>'통계표'!$C$7</f>
        <v>27</v>
      </c>
      <c r="D7" s="9" t="str">
        <f>'통계표'!$D$7</f>
        <v>1</v>
      </c>
    </row>
    <row r="8">
      <c r="A8" s="5" t="s">
        <v>41</v>
      </c>
      <c r="B8" s="9" t="str">
        <f>'통계표'!$B$8</f>
        <v>20</v>
      </c>
      <c r="C8" s="9" t="str">
        <f>'통계표'!$C$8</f>
        <v>20</v>
      </c>
      <c r="D8" s="9" t="str">
        <f>'통계표'!$D$8</f>
        <v>1</v>
      </c>
    </row>
    <row r="9">
      <c r="A9" s="5" t="s">
        <v>42</v>
      </c>
      <c r="B9" s="9" t="str">
        <f>'통계표'!$B$9</f>
        <v>22</v>
      </c>
      <c r="C9" s="9" t="str">
        <f>'통계표'!$C$9</f>
        <v>22</v>
      </c>
      <c r="D9" s="9" t="str">
        <f>'통계표'!$D$9</f>
        <v>2</v>
      </c>
    </row>
    <row r="10">
      <c r="A10" s="5" t="s">
        <v>43</v>
      </c>
      <c r="B10" s="9" t="str">
        <f>'통계표'!$B$10</f>
        <v>20</v>
      </c>
      <c r="C10" s="9" t="str">
        <f>'통계표'!$C$10</f>
        <v>20</v>
      </c>
      <c r="D10" s="9" t="str">
        <f>'통계표'!$D$10</f>
        <v>3</v>
      </c>
    </row>
    <row r="11">
      <c r="A11" s="5" t="s">
        <v>44</v>
      </c>
      <c r="B11" s="9" t="str">
        <f>'통계표'!$B$11</f>
        <v>25</v>
      </c>
      <c r="C11" s="9" t="str">
        <f>'통계표'!$C$11</f>
        <v>25</v>
      </c>
      <c r="D11" s="9" t="str">
        <f>'통계표'!$D$11</f>
        <v>2</v>
      </c>
    </row>
    <row r="12">
      <c r="A12" s="5" t="s">
        <v>45</v>
      </c>
      <c r="B12" s="9" t="str">
        <f>'통계표'!$B$12</f>
        <v>32</v>
      </c>
      <c r="C12" s="9" t="str">
        <f>'통계표'!$C$12</f>
        <v>32</v>
      </c>
      <c r="D12" s="9" t="str">
        <f>'통계표'!$D$12</f>
        <v>4</v>
      </c>
    </row>
    <row r="13">
      <c r="A13" s="5" t="s">
        <v>46</v>
      </c>
      <c r="B13" s="9" t="str">
        <f>'통계표'!$B$13</f>
        <v>22</v>
      </c>
      <c r="C13" s="9" t="str">
        <f>'통계표'!$C$13</f>
        <v>22</v>
      </c>
      <c r="D13" s="9" t="str">
        <f>'통계표'!$D$13</f>
        <v>3</v>
      </c>
    </row>
    <row r="14">
      <c r="A14" s="5" t="s">
        <v>47</v>
      </c>
      <c r="B14" s="9" t="str">
        <f>'통계표'!$B$14</f>
        <v>18</v>
      </c>
      <c r="C14" s="9" t="str">
        <f>'통계표'!$C$14</f>
        <v>18</v>
      </c>
      <c r="D14" s="9" t="str">
        <f>'통계표'!$D$14</f>
        <v>4</v>
      </c>
    </row>
    <row r="15">
      <c r="A15" s="5" t="s">
        <v>48</v>
      </c>
      <c r="B15" s="9" t="str">
        <f>'통계표'!$B$15</f>
        <v>34</v>
      </c>
      <c r="C15" s="9" t="str">
        <f>'통계표'!$C$15</f>
        <v>34</v>
      </c>
      <c r="D15" s="9" t="str">
        <f>'통계표'!$D$15</f>
        <v>4</v>
      </c>
    </row>
    <row r="16">
      <c r="A16" s="5" t="s">
        <v>49</v>
      </c>
      <c r="B16" s="9" t="str">
        <f>'통계표'!$B$16</f>
        <v>23</v>
      </c>
      <c r="C16" s="9" t="str">
        <f>'통계표'!$C$16</f>
        <v>23</v>
      </c>
      <c r="D16" s="9" t="str">
        <f>'통계표'!$D$16</f>
        <v>1</v>
      </c>
    </row>
    <row r="17">
      <c r="A17" s="5" t="s">
        <v>50</v>
      </c>
      <c r="B17" s="9" t="str">
        <f>'통계표'!$B$17</f>
        <v>145</v>
      </c>
      <c r="C17" s="9" t="str">
        <f>'통계표'!$C$17</f>
        <v>145</v>
      </c>
      <c r="D17" s="9" t="str">
        <f>'통계표'!$D$17</f>
        <v>4</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52</v>
      </c>
    </row>
    <row r="3">
      <c r="A3" s="8" t="s">
        <v>53</v>
      </c>
      <c r="B3" s="2" t="s">
        <v>54</v>
      </c>
    </row>
    <row r="4">
      <c r="A4" s="8" t="s">
        <v>55</v>
      </c>
      <c r="B4" s="2" t="s">
        <v>56</v>
      </c>
    </row>
    <row r="5">
      <c r="A5" s="8" t="s">
        <v>57</v>
      </c>
      <c r="B5" s="2" t="s">
        <v>58</v>
      </c>
    </row>
    <row r="6">
      <c r="A6" s="8" t="s">
        <v>59</v>
      </c>
      <c r="B6" s="2" t="s">
        <v>60</v>
      </c>
    </row>
    <row r="7">
      <c r="A7" s="8" t="s">
        <v>55</v>
      </c>
      <c r="B7" s="2" t="s">
        <v>61</v>
      </c>
    </row>
    <row r="8">
      <c r="A8" s="8" t="s">
        <v>62</v>
      </c>
      <c r="B8" s="2" t="s">
        <v>63</v>
      </c>
    </row>
    <row r="9">
      <c r="A9" s="8" t="s">
        <v>64</v>
      </c>
      <c r="B9" s="2" t="s">
        <v>65</v>
      </c>
    </row>
    <row r="10">
      <c r="A10" s="8" t="s">
        <v>19</v>
      </c>
      <c r="B10" s="2" t="s">
        <v>66</v>
      </c>
    </row>
    <row r="11">
      <c r="A11" s="8" t="s">
        <v>67</v>
      </c>
      <c r="B11" s="2" t="s">
        <v>68</v>
      </c>
    </row>
    <row r="12">
      <c r="A12" s="8" t="s">
        <v>69</v>
      </c>
      <c r="B12" s="2" t="s">
        <v>70</v>
      </c>
    </row>
    <row r="13">
      <c r="A13" s="8" t="s">
        <v>71</v>
      </c>
      <c r="B13" s="2"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2026-09-29T15:14:38.832Z</dcterms:created>
  <dcterms:modified xsi:type="dcterms:W3CDTF">2026-09-29T15:14:38.832Z</dcterms:modified>
</coreProperties>
</file>
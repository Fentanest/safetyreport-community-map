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jpeg" ContentType="image/jpeg"/>
  <Default Extension="png" ContentType="image/png"/>
  <Default Extension="emz" ContentType="image/x-emz"/>
  <Default Extension="wmz" ContentType="image/x-wmz"/>
  <Default Extension="ico" ContentType="image/x-ico"/>
  <Default Extension="gif" ContentType="image/gif"/>
  <Default Extension="svg" ContentType="image/svg"/>
  <Default Extension="tiff" ContentType="image/tiff"/>
  <Default Extension="emf" ContentType="image/x-emf"/>
  <Default Extension="wmf" ContentType="image/x-w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harts/chart1.xml" ContentType="application/vnd.openxmlformats-officedocument.drawingml.chart+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<sst xmlns="http://schemas.openxmlformats.org/spreadsheetml/2006/main" count="67" uniqueCount="67">
  <si>
    <t>맞춤 통계 · 기관 · 수용 건수, 일부 수용 건수, 불수용 건수</t>
  </si>
  <si>
    <t>2026-09-30 00:14:31 (한국 시간)에 내려받은 결과입니다. 조건은 ‘조회 조건’ 시트에 있습니다.</t>
  </si>
  <si>
    <t/>
  </si>
  <si>
    <t>기관</t>
  </si>
  <si>
    <t>수용 건수</t>
  </si>
  <si>
    <t>수용 건수 · 값</t>
  </si>
  <si>
    <t>수용 건수 · 합계</t>
  </si>
  <si>
    <t>일부 수용 건수</t>
  </si>
  <si>
    <t>일부 수용 건수 · 값</t>
  </si>
  <si>
    <t>일부 수용 건수 · 합계</t>
  </si>
  <si>
    <t>불수용 건수</t>
  </si>
  <si>
    <t>불수용 건수 · 값</t>
  </si>
  <si>
    <t>불수용 건수 · 합계</t>
  </si>
  <si>
    <t>예시 대구수성경찰서</t>
  </si>
  <si>
    <t>예시 서울중부경찰서</t>
  </si>
  <si>
    <t>예시 강남구청</t>
  </si>
  <si>
    <t>예시 수원시청</t>
  </si>
  <si>
    <t>예시 인천남동경찰서</t>
  </si>
  <si>
    <t>예시 해운대구청</t>
  </si>
  <si>
    <t>예시 부산연제경찰서</t>
  </si>
  <si>
    <t>예시 대전서구청</t>
  </si>
  <si>
    <t>예시 광주북구청</t>
  </si>
  <si>
    <t>예시 제주시청</t>
  </si>
  <si>
    <t>합계</t>
  </si>
  <si>
    <t>합계는 칸을 더하거나 평균 낸 값이 아니라, 해당 신고 전체로 다시 계산한 값입니다. 예를 들어 1건 중 1건(100%)과 99건 중 9건(9.1%)을 합치면 100건 중 10건, 10%입니다.</t>
  </si>
  <si>
    <t>비율은 같은 줄의 ‘해당 건수 ÷ 기준 건수’로 계산하는 수식입니다. 기준 건수가 0이면 계산하지 않고 ‘계산 불가’로 적었습니다.</t>
  </si>
  <si>
    <t>중앙값, 상위 90% 값, 서로 다른 개수처럼 이 파일의 숫자로 다시 계산할 수 없는 값은 계산된 결과를 그대로 넣었습니다.</t>
  </si>
  <si>
    <t>‘—’는 해당하는 답변 신고가 없다는 뜻입니다(0이 아님).</t>
  </si>
  <si>
    <t>차트 데이터</t>
  </si>
  <si>
    <t>차트가 그리는 숫자입니다(개별 신고가 아닙니다). 이 숫자들은 ‘통계표’ 시트에서 그대로 가져오므로, 통계표의 건수를 고치면 차트도 함께 바뀝니다. 여기에 숫자를 직접 넣어도 차트는 바뀌지만 통계표와는 달라집니다. 빈 칸은 값이 없다는 뜻입니다(0이 아님).</t>
  </si>
  <si>
    <t>맞춤 통계 · 기관 · 수용 건수, 일부 수용 건수, 불수용 건수 · 차트</t>
  </si>
  <si>
    <t>수용 건수·일부 수용 건수·불수용 건수 · 100% 누적</t>
  </si>
  <si>
    <t>막대 전체(100%)는 숨긴 항목까지 합친 건수입니다. 숨긴 항목이 있으면 막대가 100%까지 차지 않습니다.</t>
  </si>
  <si>
    <t>맞춤 통계 · 기관 · 수용 건수, 일부 수용 건수, 불수용 건수 · 조회 조건</t>
  </si>
  <si>
    <t>내려받은 시각</t>
  </si>
  <si>
    <t>2026-09-30 00:14:31 (한국 시간)</t>
  </si>
  <si>
    <t>자료 버전</t>
  </si>
  <si>
    <t>e2e-synthetic-1</t>
  </si>
  <si>
    <t>기간</t>
  </si>
  <si>
    <t>2025-10-01 — 2026-09-30 (시작일·종료일 포함)</t>
  </si>
  <si>
    <t>날짜 기준</t>
  </si>
  <si>
    <t>답변일 — 이 날짜가 기간 안인 신고만 모았습니다(다른 날짜는 기간 밖이어도 포함)</t>
  </si>
  <si>
    <t>대상 범위</t>
  </si>
  <si>
    <t>전국 · 모든 분류</t>
  </si>
  <si>
    <t>누구의 신고</t>
  </si>
  <si>
    <t>전체</t>
  </si>
  <si>
    <t>행</t>
  </si>
  <si>
    <t>열</t>
  </si>
  <si>
    <t>없음</t>
  </si>
  <si>
    <t>지표</t>
  </si>
  <si>
    <t>수용 건수, 일부 수용 건수, 불수용 건수</t>
  </si>
  <si>
    <t>비교 대상</t>
  </si>
  <si>
    <t>고르지 않음 (전체)</t>
  </si>
  <si>
    <t>답변 신고</t>
  </si>
  <si>
    <t>전체 409건</t>
  </si>
  <si>
    <t>표 정렬</t>
  </si>
  <si>
    <t>기본 순서</t>
  </si>
  <si>
    <t>그래프</t>
  </si>
  <si>
    <t>100% 누적</t>
  </si>
  <si>
    <t>지표 정의</t>
  </si>
  <si>
    <t>수용 건수: 처리 결과가 수용인 신고 수 · 일부 수용 건수: 처리 결과가 일부 수용인 신고 수 · 불수용 건수: 처리 결과가 불수용인 신고 수</t>
  </si>
  <si>
    <t>빈 칸의 뜻</t>
  </si>
  <si>
    <t>‘—’는 해당하는 신고가 없음, ‘계산 불가’는 비율의 기준이 되는 신고가 0건, ‘자료 없음’은 계산할 자료가 없다는 뜻입니다. 모두 0과 다릅니다.</t>
  </si>
  <si>
    <t>화면에서 숨긴 항목</t>
  </si>
  <si>
    <t>수용 건수, 일부 수용 건수, 불수용 건수 — 이 파일의 차트에는 넣었습니다</t>
  </si>
  <si>
    <t>이 파일에 대해</t>
  </si>
  <si>
    <t>내려받은 시점의 결과입니다. 엑셀에서 자료를 새로 불러오지 않으므로 지금 사이트의 숫자와 다를 수 있습니다. 개별 신고, 차량 번호, 신고 번호, 계정 정보는 들어 있지 않습니다. 파일을 다른 사람에게 보내면 파일 안의 통계와 이름을 그 사람도 볼 수 있습니다.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</si>
</sst>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true" baseline="0" i="false" kern="0" spc="0" sz="1200">
                <a:solidFill>
                  <a:srgbClr val="595959"/>
                </a:solidFill>
                <a:latin typeface="맑은 고딕"/>
                <a:ea typeface="맑은 고딕"/>
                <a:cs typeface="맑은 고딕"/>
              </a:rPr>
              <a:t>수용 건수·일부 수용 건수·불수용 건수 · 100% 누적</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barChart>
        <barDir val="col"/>
        <grouping val="stacked"/>
        <varyColors val="0"/>
        <ser>
          <idx val="0"/>
          <order val="0"/>
          <tx>
            <strRef>
              <f>'차트 데이터'!$B$5</f>
            </strRef>
          </tx>
          <spPr>
            <a:solidFill>
              <a:srgbClr val="16A34A"/>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데이터'!$B$6:$B$15</f>
              <numCache>
                <formatCode/>
              </numCache>
            </numRef>
          </val>
          <smooth val="0"/>
        </ser>
        <ser>
          <idx val="1"/>
          <order val="1"/>
          <tx>
            <strRef>
              <f>'차트 데이터'!$C$5</f>
            </strRef>
          </tx>
          <spPr>
            <a:solidFill>
              <a:srgbClr val="F59E0B"/>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데이터'!$C$6:$C$15</f>
              <numCache>
                <formatCode/>
              </numCache>
            </numRef>
          </val>
          <smooth val="0"/>
        </ser>
        <ser>
          <idx val="2"/>
          <order val="2"/>
          <tx>
            <strRef>
              <f>'차트 데이터'!$D$5</f>
            </strRef>
          </tx>
          <spPr>
            <a:solidFill>
              <a:srgbClr val="DC262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데이터'!$D$6:$D$15</f>
              <numCache>
                <formatCode/>
              </numCache>
            </numRef>
          </val>
          <smooth val="0"/>
        </ser>
        <dLbls>
          <showLegendKey val="0"/>
          <showVal val="0"/>
          <showCatName val="0"/>
          <showSerName val="0"/>
          <showPercent val="0"/>
          <showBubbleSize val="0"/>
          <showLeaderLines val="0"/>
        </dLbls>
        <gapWidth val="60"/>
        <overlap val="100"/>
        <axId val="100000000"/>
        <axId val="100000001"/>
      </bar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맑은 고딕"/>
                <a:ea typeface="맑은 고딕"/>
                <a:cs typeface="맑은 고딕"/>
              </a:defRPr>
            </a:pPr>
            <a:endParaRPr lang="en-US"/>
          </a:p>
        </txPr>
        <crossAx val="100000001"/>
        <crosses val="autoZero"/>
        <auto val="1"/>
        <lblAlgn val="ctr"/>
        <lblOffset val="100"/>
        <noMultiLvlLbl val="0"/>
      </catAx>
      <valAx>
        <axId val="100000001"/>
        <scaling>
          <orientation val="minMax"/>
          <max val="1"/>
          <min val="0"/>
        </scaling>
        <delete val="0"/>
        <axPos val="l"/>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4</xdr:row>
      <xdr:rowOff>0</xdr:rowOff>
    </xdr:from>
    <xdr:to>
      <xdr:col>13</xdr:col>
      <xdr:colOff>495300</xdr:colOff>
      <xdr:row>22</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8" xSplit="1" ySplit="7"/>
    </sheetView>
  </sheetViews>
  <sheetFormatPr defaultRowHeight="15"/>
  <cols>
    <col customWidth="true" max="1" min="1" width="24"/>
    <col customWidth="true" max="7" min="2" width="14"/>
  </cols>
  <sheetData>
    <row r="1">
      <c r="A1" s="1" t="s">
        <v>0</v>
      </c>
    </row>
    <row r="2">
      <c r="A2" s="3" t="s">
        <v>1</v>
      </c>
    </row>
    <row r="4">
      <c r="A4" s="4" t="s">
        <v>2</v>
      </c>
      <c r="B4" s="4" t="s">
        <v>2</v>
      </c>
      <c r="C4" s="4" t="s">
        <v>2</v>
      </c>
      <c r="D4" s="4" t="s">
        <v>2</v>
      </c>
      <c r="E4" s="4" t="s">
        <v>2</v>
      </c>
      <c r="F4" s="4" t="s">
        <v>2</v>
      </c>
      <c r="G4" s="4" t="s">
        <v>2</v>
      </c>
    </row>
    <row r="5">
      <c r="A5" s="4" t="s">
        <v>2</v>
      </c>
      <c r="B5" s="4" t="s">
        <v>4</v>
      </c>
      <c r="C5" s="4" t="s">
        <v>4</v>
      </c>
      <c r="D5" s="4" t="s">
        <v>7</v>
      </c>
      <c r="E5" s="4" t="s">
        <v>7</v>
      </c>
      <c r="F5" s="4" t="s">
        <v>10</v>
      </c>
      <c r="G5" s="4" t="s">
        <v>10</v>
      </c>
    </row>
    <row r="6">
      <c r="A6" s="4" t="s">
        <v>2</v>
      </c>
      <c r="B6" s="4" t="s">
        <v>2</v>
      </c>
      <c r="C6" s="4" t="s">
        <v>2</v>
      </c>
      <c r="D6" s="4" t="s">
        <v>2</v>
      </c>
      <c r="E6" s="4" t="s">
        <v>2</v>
      </c>
      <c r="F6" s="4" t="s">
        <v>2</v>
      </c>
      <c r="G6" s="4" t="s">
        <v>2</v>
      </c>
    </row>
    <row r="7">
      <c r="A7" s="4" t="s">
        <v>3</v>
      </c>
      <c r="B7" s="4" t="s">
        <v>5</v>
      </c>
      <c r="C7" s="4" t="s">
        <v>6</v>
      </c>
      <c r="D7" s="4" t="s">
        <v>8</v>
      </c>
      <c r="E7" s="4" t="s">
        <v>9</v>
      </c>
      <c r="F7" s="4" t="s">
        <v>11</v>
      </c>
      <c r="G7" s="4" t="s">
        <v>12</v>
      </c>
    </row>
    <row r="8">
      <c r="A8" s="5" t="s">
        <v>13</v>
      </c>
      <c r="B8" s="9">
        <v>40</v>
      </c>
      <c r="C8" s="9">
        <v>40</v>
      </c>
      <c r="D8" s="9">
        <v>31</v>
      </c>
      <c r="E8" s="9">
        <v>31</v>
      </c>
      <c r="F8" s="9">
        <v>31</v>
      </c>
      <c r="G8" s="9">
        <v>31</v>
      </c>
    </row>
    <row r="9">
      <c r="A9" s="5" t="s">
        <v>14</v>
      </c>
      <c r="B9" s="9">
        <v>31</v>
      </c>
      <c r="C9" s="9">
        <v>31</v>
      </c>
      <c r="D9" s="9">
        <v>11</v>
      </c>
      <c r="E9" s="9">
        <v>11</v>
      </c>
      <c r="F9" s="9">
        <v>11</v>
      </c>
      <c r="G9" s="9">
        <v>11</v>
      </c>
    </row>
    <row r="10">
      <c r="A10" s="5" t="s">
        <v>15</v>
      </c>
      <c r="B10" s="9">
        <v>33</v>
      </c>
      <c r="C10" s="9">
        <v>33</v>
      </c>
      <c r="D10" s="9">
        <v>3</v>
      </c>
      <c r="E10" s="9">
        <v>3</v>
      </c>
      <c r="F10" s="9">
        <v>11</v>
      </c>
      <c r="G10" s="9">
        <v>11</v>
      </c>
    </row>
    <row r="11">
      <c r="A11" s="5" t="s">
        <v>16</v>
      </c>
      <c r="B11" s="9">
        <v>28</v>
      </c>
      <c r="C11" s="9">
        <v>28</v>
      </c>
      <c r="D11" s="9">
        <v>5</v>
      </c>
      <c r="E11" s="9">
        <v>5</v>
      </c>
      <c r="F11" s="9">
        <v>11</v>
      </c>
      <c r="G11" s="9">
        <v>11</v>
      </c>
    </row>
    <row r="12">
      <c r="A12" s="5" t="s">
        <v>17</v>
      </c>
      <c r="B12" s="9">
        <v>7</v>
      </c>
      <c r="C12" s="9">
        <v>7</v>
      </c>
      <c r="D12" s="9">
        <v>6</v>
      </c>
      <c r="E12" s="9">
        <v>6</v>
      </c>
      <c r="F12" s="9">
        <v>12</v>
      </c>
      <c r="G12" s="9">
        <v>12</v>
      </c>
    </row>
    <row r="13">
      <c r="A13" s="5" t="s">
        <v>18</v>
      </c>
      <c r="B13" s="9">
        <v>12</v>
      </c>
      <c r="C13" s="9">
        <v>12</v>
      </c>
      <c r="D13" s="9">
        <v>3</v>
      </c>
      <c r="E13" s="9">
        <v>3</v>
      </c>
      <c r="F13" s="9">
        <v>4</v>
      </c>
      <c r="G13" s="9">
        <v>4</v>
      </c>
    </row>
    <row r="14">
      <c r="A14" s="5" t="s">
        <v>19</v>
      </c>
      <c r="B14" s="9">
        <v>9</v>
      </c>
      <c r="C14" s="9">
        <v>9</v>
      </c>
      <c r="D14" s="9">
        <v>1</v>
      </c>
      <c r="E14" s="9">
        <v>1</v>
      </c>
      <c r="F14" s="9">
        <v>5</v>
      </c>
      <c r="G14" s="9">
        <v>5</v>
      </c>
    </row>
    <row r="15">
      <c r="A15" s="5" t="s">
        <v>20</v>
      </c>
      <c r="B15" s="9">
        <v>9</v>
      </c>
      <c r="C15" s="9">
        <v>9</v>
      </c>
      <c r="D15" s="9">
        <v>2</v>
      </c>
      <c r="E15" s="9">
        <v>2</v>
      </c>
      <c r="F15" s="9">
        <v>5</v>
      </c>
      <c r="G15" s="9">
        <v>5</v>
      </c>
    </row>
    <row r="16">
      <c r="A16" s="5" t="s">
        <v>21</v>
      </c>
      <c r="B16" s="9">
        <v>6</v>
      </c>
      <c r="C16" s="9">
        <v>6</v>
      </c>
      <c r="D16" s="9">
        <v>2</v>
      </c>
      <c r="E16" s="9">
        <v>2</v>
      </c>
      <c r="F16" s="9">
        <v>2</v>
      </c>
      <c r="G16" s="9">
        <v>2</v>
      </c>
    </row>
    <row r="17">
      <c r="A17" s="5" t="s">
        <v>22</v>
      </c>
      <c r="B17" s="9">
        <v>9</v>
      </c>
      <c r="C17" s="9">
        <v>9</v>
      </c>
      <c r="D17" s="9">
        <v>1</v>
      </c>
      <c r="E17" s="9">
        <v>1</v>
      </c>
      <c r="F17" s="9">
        <v>1</v>
      </c>
      <c r="G17" s="9">
        <v>1</v>
      </c>
    </row>
    <row r="18">
      <c r="A18" s="6" t="s">
        <v>23</v>
      </c>
      <c r="B18" s="16">
        <v>184</v>
      </c>
      <c r="C18" s="16">
        <v>184</v>
      </c>
      <c r="D18" s="16">
        <v>65</v>
      </c>
      <c r="E18" s="16">
        <v>65</v>
      </c>
      <c r="F18" s="16">
        <v>93</v>
      </c>
      <c r="G18" s="16">
        <v>93</v>
      </c>
    </row>
    <row r="20">
      <c r="A20" s="3" t="s">
        <v>24</v>
      </c>
    </row>
    <row r="21">
      <c r="A21" s="3" t="s">
        <v>25</v>
      </c>
    </row>
    <row r="22">
      <c r="A22" s="3" t="s">
        <v>26</v>
      </c>
    </row>
    <row r="23">
      <c r="A23" s="3" t="s">
        <v>27</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4"/>
  </cols>
  <sheetData>
    <row r="1">
      <c r="A1" s="1" t="s">
        <v>30</v>
      </c>
    </row>
    <row r="3">
      <c r="A3" s="8" t="s">
        <v>31</v>
      </c>
    </row>
    <row r="4">
      <c r="A4" s="3" t="s">
        <v>32</v>
      </c>
    </row>
  </sheetData>
  <drawing r:id="rId1"/>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28</v>
      </c>
    </row>
    <row r="2">
      <c r="A2" s="3" t="s">
        <v>29</v>
      </c>
    </row>
    <row r="4">
      <c r="A4" s="8" t="s">
        <v>31</v>
      </c>
    </row>
    <row r="5">
      <c r="A5" s="4" t="s">
        <v>3</v>
      </c>
      <c r="B5" s="4" t="s">
        <v>4</v>
      </c>
      <c r="C5" s="4" t="s">
        <v>7</v>
      </c>
      <c r="D5" s="4" t="s">
        <v>10</v>
      </c>
    </row>
    <row r="6">
      <c r="A6" s="5" t="s">
        <v>13</v>
      </c>
      <c r="B6" s="10" t="str">
        <f>'통계표'!$B$8/SUM('통계표'!$B$8,'통계표'!$D$8,'통계표'!$F$8)</f>
        <v>0.39215686274509803</v>
      </c>
      <c r="C6" s="10" t="str">
        <f>'통계표'!$D$8/SUM('통계표'!$B$8,'통계표'!$D$8,'통계표'!$F$8)</f>
        <v>0.30392156862745096</v>
      </c>
      <c r="D6" s="10" t="str">
        <f>'통계표'!$F$8/SUM('통계표'!$B$8,'통계표'!$D$8,'통계표'!$F$8)</f>
        <v>0.30392156862745096</v>
      </c>
    </row>
    <row r="7">
      <c r="A7" s="5" t="s">
        <v>14</v>
      </c>
      <c r="B7" s="10" t="str">
        <f>'통계표'!$B$9/SUM('통계표'!$B$9,'통계표'!$D$9,'통계표'!$F$9)</f>
        <v>0.5849056603773585</v>
      </c>
      <c r="C7" s="10" t="str">
        <f>'통계표'!$D$9/SUM('통계표'!$B$9,'통계표'!$D$9,'통계표'!$F$9)</f>
        <v>0.20754716981132076</v>
      </c>
      <c r="D7" s="10" t="str">
        <f>'통계표'!$F$9/SUM('통계표'!$B$9,'통계표'!$D$9,'통계표'!$F$9)</f>
        <v>0.20754716981132076</v>
      </c>
    </row>
    <row r="8">
      <c r="A8" s="5" t="s">
        <v>15</v>
      </c>
      <c r="B8" s="10" t="str">
        <f>'통계표'!$B$10/SUM('통계표'!$B$10,'통계표'!$D$10,'통계표'!$F$10)</f>
        <v>0.7021276595744681</v>
      </c>
      <c r="C8" s="10" t="str">
        <f>'통계표'!$D$10/SUM('통계표'!$B$10,'통계표'!$D$10,'통계표'!$F$10)</f>
        <v>0.06382978723404255</v>
      </c>
      <c r="D8" s="10" t="str">
        <f>'통계표'!$F$10/SUM('통계표'!$B$10,'통계표'!$D$10,'통계표'!$F$10)</f>
        <v>0.23404255319148937</v>
      </c>
    </row>
    <row r="9">
      <c r="A9" s="5" t="s">
        <v>16</v>
      </c>
      <c r="B9" s="10" t="str">
        <f>'통계표'!$B$11/SUM('통계표'!$B$11,'통계표'!$D$11,'통계표'!$F$11)</f>
        <v>0.6363636363636364</v>
      </c>
      <c r="C9" s="10" t="str">
        <f>'통계표'!$D$11/SUM('통계표'!$B$11,'통계표'!$D$11,'통계표'!$F$11)</f>
        <v>0.11363636363636363</v>
      </c>
      <c r="D9" s="10" t="str">
        <f>'통계표'!$F$11/SUM('통계표'!$B$11,'통계표'!$D$11,'통계표'!$F$11)</f>
        <v>0.25</v>
      </c>
    </row>
    <row r="10">
      <c r="A10" s="5" t="s">
        <v>17</v>
      </c>
      <c r="B10" s="10" t="str">
        <f>'통계표'!$B$12/SUM('통계표'!$B$12,'통계표'!$D$12,'통계표'!$F$12)</f>
        <v>0.28</v>
      </c>
      <c r="C10" s="10" t="str">
        <f>'통계표'!$D$12/SUM('통계표'!$B$12,'통계표'!$D$12,'통계표'!$F$12)</f>
        <v>0.24</v>
      </c>
      <c r="D10" s="10" t="str">
        <f>'통계표'!$F$12/SUM('통계표'!$B$12,'통계표'!$D$12,'통계표'!$F$12)</f>
        <v>0.48</v>
      </c>
    </row>
    <row r="11">
      <c r="A11" s="5" t="s">
        <v>18</v>
      </c>
      <c r="B11" s="10" t="str">
        <f>'통계표'!$B$13/SUM('통계표'!$B$13,'통계표'!$D$13,'통계표'!$F$13)</f>
        <v>0.631578947368421</v>
      </c>
      <c r="C11" s="10" t="str">
        <f>'통계표'!$D$13/SUM('통계표'!$B$13,'통계표'!$D$13,'통계표'!$F$13)</f>
        <v>0.15789473684210525</v>
      </c>
      <c r="D11" s="10" t="str">
        <f>'통계표'!$F$13/SUM('통계표'!$B$13,'통계표'!$D$13,'통계표'!$F$13)</f>
        <v>0.21052631578947367</v>
      </c>
    </row>
    <row r="12">
      <c r="A12" s="5" t="s">
        <v>19</v>
      </c>
      <c r="B12" s="10" t="str">
        <f>'통계표'!$B$14/SUM('통계표'!$B$14,'통계표'!$D$14,'통계표'!$F$14)</f>
        <v>0.6</v>
      </c>
      <c r="C12" s="10" t="str">
        <f>'통계표'!$D$14/SUM('통계표'!$B$14,'통계표'!$D$14,'통계표'!$F$14)</f>
        <v>0.06666666666666667</v>
      </c>
      <c r="D12" s="10" t="str">
        <f>'통계표'!$F$14/SUM('통계표'!$B$14,'통계표'!$D$14,'통계표'!$F$14)</f>
        <v>0.3333333333333333</v>
      </c>
    </row>
    <row r="13">
      <c r="A13" s="5" t="s">
        <v>20</v>
      </c>
      <c r="B13" s="10" t="str">
        <f>'통계표'!$B$15/SUM('통계표'!$B$15,'통계표'!$D$15,'통계표'!$F$15)</f>
        <v>0.5625</v>
      </c>
      <c r="C13" s="10" t="str">
        <f>'통계표'!$D$15/SUM('통계표'!$B$15,'통계표'!$D$15,'통계표'!$F$15)</f>
        <v>0.125</v>
      </c>
      <c r="D13" s="10" t="str">
        <f>'통계표'!$F$15/SUM('통계표'!$B$15,'통계표'!$D$15,'통계표'!$F$15)</f>
        <v>0.3125</v>
      </c>
    </row>
    <row r="14">
      <c r="A14" s="5" t="s">
        <v>21</v>
      </c>
      <c r="B14" s="10" t="str">
        <f>'통계표'!$B$16/SUM('통계표'!$B$16,'통계표'!$D$16,'통계표'!$F$16)</f>
        <v>0.6</v>
      </c>
      <c r="C14" s="10" t="str">
        <f>'통계표'!$D$16/SUM('통계표'!$B$16,'통계표'!$D$16,'통계표'!$F$16)</f>
        <v>0.2</v>
      </c>
      <c r="D14" s="10" t="str">
        <f>'통계표'!$F$16/SUM('통계표'!$B$16,'통계표'!$D$16,'통계표'!$F$16)</f>
        <v>0.2</v>
      </c>
    </row>
    <row r="15">
      <c r="A15" s="5" t="s">
        <v>22</v>
      </c>
      <c r="B15" s="10" t="str">
        <f>'통계표'!$B$17/SUM('통계표'!$B$17,'통계표'!$D$17,'통계표'!$F$17)</f>
        <v>0.8181818181818182</v>
      </c>
      <c r="C15" s="10" t="str">
        <f>'통계표'!$D$17/SUM('통계표'!$B$17,'통계표'!$D$17,'통계표'!$F$17)</f>
        <v>0.09090909090909091</v>
      </c>
      <c r="D15" s="10" t="str">
        <f>'통계표'!$F$17/SUM('통계표'!$B$17,'통계표'!$D$17,'통계표'!$F$17)</f>
        <v>0.09090909090909091</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33</v>
      </c>
    </row>
    <row r="3">
      <c r="A3" s="8" t="s">
        <v>34</v>
      </c>
      <c r="B3" s="2" t="s">
        <v>35</v>
      </c>
    </row>
    <row r="4">
      <c r="A4" s="8" t="s">
        <v>36</v>
      </c>
      <c r="B4" s="2" t="s">
        <v>37</v>
      </c>
    </row>
    <row r="5">
      <c r="A5" s="8" t="s">
        <v>38</v>
      </c>
      <c r="B5" s="2" t="s">
        <v>39</v>
      </c>
    </row>
    <row r="6">
      <c r="A6" s="8" t="s">
        <v>40</v>
      </c>
      <c r="B6" s="2" t="s">
        <v>41</v>
      </c>
    </row>
    <row r="7">
      <c r="A7" s="8" t="s">
        <v>42</v>
      </c>
      <c r="B7" s="2" t="s">
        <v>43</v>
      </c>
    </row>
    <row r="8">
      <c r="A8" s="8" t="s">
        <v>44</v>
      </c>
      <c r="B8" s="2" t="s">
        <v>45</v>
      </c>
    </row>
    <row r="9">
      <c r="A9" s="8" t="s">
        <v>46</v>
      </c>
      <c r="B9" s="2" t="s">
        <v>3</v>
      </c>
    </row>
    <row r="10">
      <c r="A10" s="8" t="s">
        <v>47</v>
      </c>
      <c r="B10" s="2" t="s">
        <v>48</v>
      </c>
    </row>
    <row r="11">
      <c r="A11" s="8" t="s">
        <v>49</v>
      </c>
      <c r="B11" s="2" t="s">
        <v>50</v>
      </c>
    </row>
    <row r="12">
      <c r="A12" s="8" t="s">
        <v>51</v>
      </c>
      <c r="B12" s="2" t="s">
        <v>52</v>
      </c>
    </row>
    <row r="13">
      <c r="A13" s="8" t="s">
        <v>53</v>
      </c>
      <c r="B13" s="2" t="s">
        <v>54</v>
      </c>
    </row>
    <row r="14">
      <c r="A14" s="8" t="s">
        <v>55</v>
      </c>
      <c r="B14" s="2" t="s">
        <v>56</v>
      </c>
    </row>
    <row r="15">
      <c r="A15" s="8" t="s">
        <v>57</v>
      </c>
      <c r="B15" s="2" t="s">
        <v>58</v>
      </c>
    </row>
    <row r="16">
      <c r="A16" s="8" t="s">
        <v>59</v>
      </c>
      <c r="B16" s="2" t="s">
        <v>60</v>
      </c>
    </row>
    <row r="17">
      <c r="A17" s="8" t="s">
        <v>61</v>
      </c>
      <c r="B17" s="2" t="s">
        <v>62</v>
      </c>
    </row>
    <row r="18">
      <c r="A18" s="8" t="s">
        <v>63</v>
      </c>
      <c r="B18" s="2" t="s">
        <v>64</v>
      </c>
    </row>
    <row r="19">
      <c r="A19" s="8" t="s">
        <v>65</v>
      </c>
      <c r="B19" s="2" t="s">
        <v>66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맞춤 통계 · 기관 · 수용 건수, 일부 수용 건수, 불수용 건수</dc:title>
  <dc:creator>커뮤니티 신고 지도</dc:creator>
  <lastModifiedBy/>
  <dcterms:created xsi:type="dcterms:W3CDTF">2026-09-29T15:14:31.311Z</dcterms:created>
  <dcterms:modified xsi:type="dcterms:W3CDTF">2026-09-29T15:14:31.311Z</dcterms:modified>
</coreProperties>
</file>
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gif" ContentType="image/gif"/>
  <Default Extension="svg" ContentType="image/svg"/>
  <Default Extension="tiff" ContentType="image/tiff"/>
  <Default Extension="ico" ContentType="image/x-ico"/>
  <Default Extension="jpeg" ContentType="image/jpeg"/>
  <Default Extension="emf" ContentType="image/x-emf"/>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<sst xmlns="http://schemas.openxmlformats.org/spreadsheetml/2006/main" count="52" uniqueCount="52">
  <si>
    <t>월별 추이 · 건수</t>
  </si>
  <si>
    <t>2026-09-29 23:18:43 (한국 시간)에 내려받은 결과입니다. 조건은 ‘조회 조건’ 시트에 있습니다.</t>
  </si>
  <si>
    <t/>
  </si>
  <si>
    <t>신고월</t>
  </si>
  <si>
    <t>건수</t>
  </si>
  <si>
    <t>건수 · 신고(건, 신고월)</t>
  </si>
  <si>
    <t>건수 · 답변 완료(건, 같은 신고 · 신고월)</t>
  </si>
  <si>
    <t>전체</t>
  </si>
  <si>
    <t>전체 · 결과 나온 신고(건)</t>
  </si>
  <si>
    <t>전체 · 수용(건)</t>
  </si>
  <si>
    <t>전체 · 일부 수용(건)</t>
  </si>
  <si>
    <t>전체 · 불수용(건)</t>
  </si>
  <si>
    <t>전체 · 과태료 처분(건)</t>
  </si>
  <si>
    <t>전체 · 수용률 (수용 ÷ 결과 나온 신고)</t>
  </si>
  <si>
    <t>전체 · 불수용률 (불수용 ÷ 결과 나온 신고)</t>
  </si>
  <si>
    <t>전체 · 일부수용률 (일부 수용 ÷ 결과 나온 신고)</t>
  </si>
  <si>
    <t>전체 · 과태료 부과율 (과태료 처분 ÷ 답변 완료)</t>
  </si>
  <si>
    <t>비고</t>
  </si>
  <si>
    <t>자료 마지막 월(08.25까지)</t>
  </si>
  <si>
    <t>비율은 같은 줄의 ‘해당 건수 ÷ 기준 건수’로 계산하는 수식입니다. 월 칸은 날짜 값이라 정렬하거나 계산할 수 있습니다.</t>
  </si>
  <si>
    <t>비고에 ‘이번 달 진행 중’(오늘 기준)과 ‘일부 기간’(기간의 첫·마지막 달)을 적었습니다. 그런 달은 다른 달보다 적게 보일 수 있습니다.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</si>
  <si>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</si>
  <si>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</si>
  <si>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월별 추이 · 건수 · 차트</t>
  </si>
  <si>
    <t>신고월별 신고·답변 건수</t>
  </si>
  <si>
    <t>신고</t>
  </si>
  <si>
    <t>답변 완료</t>
  </si>
  <si>
    <t>2025-07</t>
  </si>
  <si>
    <t>2025-08</t>
  </si>
  <si>
    <t>신고월마다 그 달에 든 같은 신고의 건수입니다(신고와 답변 완료가 같은 신고 묶음). 신고가 없는 달은 0, 자료가 없는 달은 선을 끊었습니다.</t>
  </si>
  <si>
    <t>월별 추이 · 건수 · 조회 조건</t>
  </si>
  <si>
    <t>내려받은 시각</t>
  </si>
  <si>
    <t>2026-09-29 23:18:43 (한국 시간)</t>
  </si>
  <si>
    <t>자료 버전</t>
  </si>
  <si>
    <t>e2e-oracle-1</t>
  </si>
  <si>
    <t>날짜 기준</t>
  </si>
  <si>
    <t>신고일 — 이 날짜가 기간 안인 신고만 모았습니다(다른 날짜는 기간 밖이어도 포함)</t>
  </si>
  <si>
    <t>기간</t>
  </si>
  <si>
    <t>2025-07-01 — 2025-08-31 (시작일·종료일 포함)</t>
  </si>
  <si>
    <t>e2e-oracle-1 · 기준 규칙 single-date-v1</t>
  </si>
  <si>
    <t>대상 범위</t>
  </si>
  <si>
    <t>전국 · 모든 분류</t>
  </si>
  <si>
    <t>보기</t>
  </si>
  <si>
    <t>건수 (신고·답변)</t>
  </si>
  <si>
    <t>내 신고</t>
  </si>
  <si>
    <t>넣지 않음</t>
  </si>
  <si>
    <t>계산 방법</t>
  </si>
  <si>
    <t>수용률은 결과가 나온 신고(수용+일부 수용+불수용) 중 수용의 비율입니다. 일부수용률과 불수용률도 같은 기준입니다. 과태료 부과율은 답변 완료 신고 중 과태료 처분의 비율입니다. 처리 결과를 알 수 없는 신고는 결과가 나온 신고에서 뺍니다.</t>
  </si>
  <si>
    <t>빈 칸의 뜻</t>
  </si>
  <si>
    <t>계산 불가는 그 달에 기준이 되는 신고가 없다는 뜻, 제공 안 됨은 아직 그 항목을 제공하지 않는다는 뜻, 자료 없음은 자료가 있는 기간 밖이라는 뜻입니다. 모두 0과 다릅니다.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</si>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</sst>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신고월별 신고·답변 건수</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2563EB"/>
              </a:solidFill>
            </spPr>
          </marker>
          <invertIfNegative val="0"/>
          <cat>
            <strRef>
              <f>'차트 데이터'!$A$6:$A$7</f>
            </strRef>
          </cat>
          <val>
            <numRef>
              <f>'차트 데이터'!$B$6:$B$7</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0891B2"/>
              </a:solidFill>
            </spPr>
          </marker>
          <invertIfNegative val="0"/>
          <cat>
            <strRef>
              <f>'차트 데이터'!$A$6:$A$7</f>
            </strRef>
          </cat>
          <val>
            <numRef>
              <f>'차트 데이터'!$C$6:$C$7</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12" min="2" width="14"/>
    <col customWidth="true" max="13" min="13" width="16"/>
  </cols>
  <sheetData>
    <row r="1">
      <c r="A1" s="1" t="s">
        <v>0</v>
      </c>
    </row>
    <row r="2">
      <c r="A2" s="3" t="s">
        <v>1</v>
      </c>
    </row>
    <row r="4">
      <c r="A4" s="4" t="s">
        <v>2</v>
      </c>
      <c r="B4" s="4" t="s">
        <v>4</v>
      </c>
      <c r="C4" s="4" t="s">
        <v>4</v>
      </c>
      <c r="D4" s="4" t="s">
        <v>7</v>
      </c>
      <c r="E4" s="4" t="s">
        <v>7</v>
      </c>
      <c r="F4" s="4" t="s">
        <v>7</v>
      </c>
      <c r="G4" s="4" t="s">
        <v>7</v>
      </c>
      <c r="H4" s="4" t="s">
        <v>7</v>
      </c>
      <c r="I4" s="4" t="s">
        <v>7</v>
      </c>
      <c r="J4" s="4" t="s">
        <v>7</v>
      </c>
      <c r="K4" s="4" t="s">
        <v>7</v>
      </c>
      <c r="L4" s="4" t="s">
        <v>7</v>
      </c>
      <c r="M4" s="4" t="s">
        <v>2</v>
      </c>
    </row>
    <row r="5">
      <c r="A5" s="4" t="s">
        <v>3</v>
      </c>
      <c r="B5" s="4" t="s">
        <v>5</v>
      </c>
      <c r="C5" s="4" t="s">
        <v>6</v>
      </c>
      <c r="D5" s="4" t="s">
        <v>8</v>
      </c>
      <c r="E5" s="4" t="s">
        <v>9</v>
      </c>
      <c r="F5" s="4" t="s">
        <v>10</v>
      </c>
      <c r="G5" s="4" t="s">
        <v>11</v>
      </c>
      <c r="H5" s="4" t="s">
        <v>12</v>
      </c>
      <c r="I5" s="4" t="s">
        <v>13</v>
      </c>
      <c r="J5" s="4" t="s">
        <v>14</v>
      </c>
      <c r="K5" s="4" t="s">
        <v>15</v>
      </c>
      <c r="L5" s="4" t="s">
        <v>16</v>
      </c>
      <c r="M5" s="4" t="s">
        <v>17</v>
      </c>
    </row>
    <row r="6">
      <c r="A6" s="14">
        <v>45839</v>
      </c>
      <c r="B6" s="9">
        <v>1</v>
      </c>
      <c r="C6" s="9">
        <v>1</v>
      </c>
      <c r="D6" s="9">
        <v>1</v>
      </c>
      <c r="E6" s="9">
        <v>1</v>
      </c>
      <c r="F6" s="9">
        <v>0</v>
      </c>
      <c r="G6" s="9">
        <v>0</v>
      </c>
      <c r="H6" s="9">
        <v>1</v>
      </c>
      <c r="I6" s="10" t="str">
        <f>E6/D6</f>
        <v>1</v>
      </c>
      <c r="J6" s="10" t="str">
        <f>G6/D6</f>
        <v>0</v>
      </c>
      <c r="K6" s="10" t="str">
        <f>F6/D6</f>
        <v>0</v>
      </c>
      <c r="L6" s="10" t="str">
        <f>H6/C6</f>
        <v>1</v>
      </c>
    </row>
    <row r="7">
      <c r="A7" s="14">
        <v>45870</v>
      </c>
      <c r="B7" s="9">
        <v>2</v>
      </c>
      <c r="C7" s="9">
        <v>2</v>
      </c>
      <c r="D7" s="9">
        <v>2</v>
      </c>
      <c r="E7" s="9">
        <v>1</v>
      </c>
      <c r="F7" s="9">
        <v>1</v>
      </c>
      <c r="G7" s="9">
        <v>0</v>
      </c>
      <c r="H7" s="9">
        <v>0</v>
      </c>
      <c r="I7" s="10" t="str">
        <f>E7/D7</f>
        <v>0.5</v>
      </c>
      <c r="J7" s="10" t="str">
        <f>G7/D7</f>
        <v>0</v>
      </c>
      <c r="K7" s="10" t="str">
        <f>F7/D7</f>
        <v>0.5</v>
      </c>
      <c r="L7" s="10" t="str">
        <f>H7/C7</f>
        <v>0</v>
      </c>
      <c r="M7" s="5" t="s">
        <v>18</v>
      </c>
    </row>
    <row r="9">
      <c r="A9" s="3" t="s">
        <v>19</v>
      </c>
    </row>
    <row r="10">
      <c r="A10" s="3" t="s">
        <v>20</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23</v>
      </c>
    </row>
    <row r="3">
      <c r="A3" s="8" t="s">
        <v>24</v>
      </c>
    </row>
    <row r="4">
      <c r="A4" s="3" t="s">
        <v>29</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21</v>
      </c>
    </row>
    <row r="2">
      <c r="A2" s="3" t="s">
        <v>22</v>
      </c>
    </row>
    <row r="4">
      <c r="A4" s="8" t="s">
        <v>24</v>
      </c>
    </row>
    <row r="5">
      <c r="A5" s="4" t="s">
        <v>3</v>
      </c>
      <c r="B5" s="4" t="s">
        <v>25</v>
      </c>
      <c r="C5" s="4" t="s">
        <v>26</v>
      </c>
    </row>
    <row r="6">
      <c r="A6" s="5" t="s">
        <v>27</v>
      </c>
      <c r="B6" s="9" t="str">
        <f>'통계표'!$B$6</f>
        <v>1</v>
      </c>
      <c r="C6" s="9" t="str">
        <f>'통계표'!$C$6</f>
        <v>1</v>
      </c>
    </row>
    <row r="7">
      <c r="A7" s="5" t="s">
        <v>28</v>
      </c>
      <c r="B7" s="9" t="str">
        <f>'통계표'!$B$7</f>
        <v>2</v>
      </c>
      <c r="C7" s="9" t="str">
        <f>'통계표'!$C$7</f>
        <v>2</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30</v>
      </c>
    </row>
    <row r="3">
      <c r="A3" s="8" t="s">
        <v>31</v>
      </c>
      <c r="B3" s="2" t="s">
        <v>32</v>
      </c>
    </row>
    <row r="4">
      <c r="A4" s="8" t="s">
        <v>33</v>
      </c>
      <c r="B4" s="2" t="s">
        <v>34</v>
      </c>
    </row>
    <row r="5">
      <c r="A5" s="8" t="s">
        <v>35</v>
      </c>
      <c r="B5" s="2" t="s">
        <v>36</v>
      </c>
    </row>
    <row r="6">
      <c r="A6" s="8" t="s">
        <v>37</v>
      </c>
      <c r="B6" s="2" t="s">
        <v>38</v>
      </c>
    </row>
    <row r="7">
      <c r="A7" s="8" t="s">
        <v>33</v>
      </c>
      <c r="B7" s="2" t="s">
        <v>39</v>
      </c>
    </row>
    <row r="8">
      <c r="A8" s="8" t="s">
        <v>40</v>
      </c>
      <c r="B8" s="2" t="s">
        <v>41</v>
      </c>
    </row>
    <row r="9">
      <c r="A9" s="8" t="s">
        <v>42</v>
      </c>
      <c r="B9" s="2" t="s">
        <v>43</v>
      </c>
    </row>
    <row r="10">
      <c r="A10" s="8" t="s">
        <v>44</v>
      </c>
      <c r="B10" s="2" t="s">
        <v>45</v>
      </c>
    </row>
    <row r="11">
      <c r="A11" s="8" t="s">
        <v>46</v>
      </c>
      <c r="B11" s="2" t="s">
        <v>47</v>
      </c>
    </row>
    <row r="12">
      <c r="A12" s="8" t="s">
        <v>48</v>
      </c>
      <c r="B12" s="2" t="s">
        <v>49</v>
      </c>
    </row>
    <row r="13">
      <c r="A13" s="8" t="s">
        <v>50</v>
      </c>
      <c r="B13"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건수</dc:title>
  <dc:creator>커뮤니티 신고 지도</dc:creator>
  <lastModifiedBy/>
  <dcterms:created xsi:type="dcterms:W3CDTF">2026-09-29T14:18:43.326Z</dcterms:created>
  <dcterms:modified xsi:type="dcterms:W3CDTF">2026-09-29T14:18:43.326Z</dcterms:modified>
</coreProperties>
</file>
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<sst xmlns="http://schemas.openxmlformats.org/spreadsheetml/2006/main" count="151" uniqueCount="151">
  <si>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 부과율, 답변 건수</t>
  </si>
  <si>
    <t>2026-09-29 19:29:48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</si>
  <si>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</si>
  <si>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</si>
  <si>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</si>
  <si>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</si>
  <si>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</si>
  <si>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</si>
  <si>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</si>
  <si>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</si>
  <si>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</si>
  <si>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</si>
  <si>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</si>
  <si>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</si>
  <si>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</si>
  <si>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</si>
  <si>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</si>
  <si>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</si>
  <si>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</si>
  <si>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</si>
  <si>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</si>
  <si>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</si>
  <si>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</si>
  <si>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</si>
  <si>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</si>
  <si>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</si>
  <si>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</si>
  <si>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</si>
  <si>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</si>
  <si>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</si>
  <si>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</si>
  <si>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</si>
  <si>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</si>
  <si>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</si>
  <si>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</si>
  <si>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</si>
  <si>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</si>
  <si>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</si>
  <si>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</si>
  <si>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</si>
  <si>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</si>
  <si>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</si>
  <si>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</si>
  <si>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</si>
  <si>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</si>
  <si>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</si>
  <si>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</si>
  <si>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</si>
  <si>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</si>
  <si>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</si>
  <si>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</si>
  <si>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</si>
  <si>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</si>
  <si>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</si>
  <si>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</si>
  <si>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</si>
  <si>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</si>
  <si>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</si>
  <si>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</si>
  <si>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</si>
  <si>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</si>
  <si>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</si>
  <si>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</si>
  <si>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</si>
  <si>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</si>
  <si>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</si>
  <si>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</si>
  <si>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</si>
  <si>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</si>
  <si>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</si>
  <si>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</si>
  <si>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</si>
  <si>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</si>
  <si>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</si>
  <si>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</si>
  <si>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</si>
  <si>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</si>
  <si>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</si>
  <si>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</si>
  <si>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</si>
  <si>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</si>
  <si>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</si>
  <si>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</si>
  <si>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</si>
  <si>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</si>
  <si>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</si>
  <si>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</si>
  <si>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</si>
  <si>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</si>
  <si>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</si>
  <si>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</si>
  <si>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</si>
  <si>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</si>
  <si>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</si>
  <si>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</si>
  <si>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</si>
  <si>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</si>
  <si>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</si>
  <si>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</si>
  <si>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</si>
  <si>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</si>
  <si>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</si>
  <si>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</si>
  <si>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</si>
  <si>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</si>
  <si>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</si>
  <si>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</si>
  <si>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</si>
  <si>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</si>
  <si>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</si>
  <si>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</si>
  <si>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</si>
  <si>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</si>
  <si>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</si>
  <si>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</si>
  <si>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히트맵</t>
  </si>
  <si>
    <t>색은 값에 따라 자동으로 칠해집니다(숫자를 고치면 색도 바뀝니다). 색 기준 0~100%. 빈 칸은 해당하는 신고가 없다는 뜻입니다(0이 아님).</t>
  </si>
  <si>
    <t>맞춤 통계 · 기관 × 위반법규 · 과태료 부과율, 답변 건수 · 조회 조건</t>
  </si>
  <si>
    <t>내려받은 시각</t>
  </si>
  <si>
    <t>2026-09-29 19:29:48 (한국 시간)</t>
  </si>
  <si>
    <t>자료 버전</t>
  </si>
  <si>
    <t>e2e-synthetic-1</t>
  </si>
  <si>
    <t>기간</t>
  </si>
  <si>
    <t>2025-09-30 — 2026-09-29 (시작일·종료일 포함)</t>
  </si>
  <si>
    <t>날짜 기준</t>
  </si>
  <si>
    <t>답변 받은 날</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</si>
  <si>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</si>
  <si>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</si>
  <si>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</si>
  <si>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</si>
  <si>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</si>
  <si>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</si>
  <si>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</si>
  <si>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</si>
  <si>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</si>
  <si>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</si>
  <si>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</si>
  <si>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</si>
  <si>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410건</t>
  </si>
  <si>
    <t>표 정렬</t>
  </si>
  <si>
    <t>기본 순서</t>
  </si>
  <si>
    <t>그래프</t>
  </si>
  <si>
    <t>히트맵 (자동 선택)</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</si>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</sst>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0.125</v>
      </c>
      <c r="C9" s="9">
        <v>1</v>
      </c>
      <c r="D9" s="9">
        <v>8</v>
      </c>
      <c r="E9" s="9">
        <v>8</v>
      </c>
      <c r="F9" s="9">
        <v>8</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0.27692307692307694</v>
      </c>
      <c r="BU9" s="9">
        <v>18</v>
      </c>
      <c r="BV9" s="9">
        <v>65</v>
      </c>
      <c r="BW9" s="9">
        <v>65</v>
      </c>
      <c r="BX9" s="9">
        <v>65</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97</v>
      </c>
      <c r="Y14" s="7" t="s">
        <v>97</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97</v>
      </c>
      <c r="AS14" s="7" t="s">
        <v>97</v>
      </c>
      <c r="AU14" s="10" t="str">
        <f>AV14/AW14</f>
        <v>0</v>
      </c>
      <c r="AV14" s="9">
        <v>0</v>
      </c>
      <c r="AW14" s="9">
        <v>1</v>
      </c>
      <c r="AX14" s="9">
        <v>1</v>
      </c>
      <c r="AY14" s="9">
        <v>1</v>
      </c>
      <c r="AZ14" s="10" t="str">
        <f>BA14/BB14</f>
        <v>0</v>
      </c>
      <c r="BA14" s="9">
        <v>0</v>
      </c>
      <c r="BB14" s="9">
        <v>1</v>
      </c>
      <c r="BC14" s="9">
        <v>1</v>
      </c>
      <c r="BD14" s="9">
        <v>1</v>
      </c>
      <c r="BE14" s="10" t="str">
        <f>BF14/BG14</f>
        <v>0</v>
      </c>
      <c r="BF14" s="9">
        <v>0</v>
      </c>
      <c r="BG14" s="9">
        <v>2</v>
      </c>
      <c r="BH14" s="9">
        <v>2</v>
      </c>
      <c r="BI14" s="9">
        <v>2</v>
      </c>
      <c r="BJ14" s="7" t="s">
        <v>97</v>
      </c>
      <c r="BM14" s="7" t="s">
        <v>97</v>
      </c>
      <c r="BO14" s="10" t="str">
        <f>BP14/BQ14</f>
        <v>0.3333333333333333</v>
      </c>
      <c r="BP14" s="9">
        <v>1</v>
      </c>
      <c r="BQ14" s="9">
        <v>3</v>
      </c>
      <c r="BR14" s="9">
        <v>3</v>
      </c>
      <c r="BS14" s="9">
        <v>3</v>
      </c>
      <c r="BT14" s="10" t="str">
        <f>BU14/BV14</f>
        <v>0.16666666666666666</v>
      </c>
      <c r="BU14" s="9">
        <v>3</v>
      </c>
      <c r="BV14" s="9">
        <v>18</v>
      </c>
      <c r="BW14" s="9">
        <v>18</v>
      </c>
      <c r="BX14" s="9">
        <v>18</v>
      </c>
    </row>
    <row r="15">
      <c r="A15" s="5" t="s">
        <v>104</v>
      </c>
      <c r="B15" s="10" t="str">
        <f>C15/D15</f>
        <v>0.5</v>
      </c>
      <c r="C15" s="9">
        <v>1</v>
      </c>
      <c r="D15" s="9">
        <v>2</v>
      </c>
      <c r="E15" s="9">
        <v>2</v>
      </c>
      <c r="F15" s="9">
        <v>2</v>
      </c>
      <c r="G15" s="7" t="s">
        <v>97</v>
      </c>
      <c r="J15" s="7" t="s">
        <v>97</v>
      </c>
      <c r="L15" s="10" t="str">
        <f>M15/N15</f>
        <v>0</v>
      </c>
      <c r="M15" s="9">
        <v>0</v>
      </c>
      <c r="N15" s="9">
        <v>2</v>
      </c>
      <c r="O15" s="9">
        <v>2</v>
      </c>
      <c r="P15" s="9">
        <v>2</v>
      </c>
      <c r="Q15" s="10" t="str">
        <f>R15/S15</f>
        <v>0.6666666666666666</v>
      </c>
      <c r="R15" s="9">
        <v>2</v>
      </c>
      <c r="S15" s="9">
        <v>3</v>
      </c>
      <c r="T15" s="9">
        <v>3</v>
      </c>
      <c r="U15" s="9">
        <v>3</v>
      </c>
      <c r="V15" s="7" t="s">
        <v>97</v>
      </c>
      <c r="Y15" s="7" t="s">
        <v>97</v>
      </c>
      <c r="AA15" s="7" t="s">
        <v>97</v>
      </c>
      <c r="AD15" s="7" t="s">
        <v>97</v>
      </c>
      <c r="AF15" s="7" t="s">
        <v>97</v>
      </c>
      <c r="AI15" s="7" t="s">
        <v>97</v>
      </c>
      <c r="AK15" s="10" t="str">
        <f>AL15/AM15</f>
        <v>0</v>
      </c>
      <c r="AL15" s="9">
        <v>0</v>
      </c>
      <c r="AM15" s="9">
        <v>1</v>
      </c>
      <c r="AN15" s="9">
        <v>1</v>
      </c>
      <c r="AO15" s="9">
        <v>1</v>
      </c>
      <c r="AP15" s="10" t="str">
        <f>AQ15/AR15</f>
        <v>0</v>
      </c>
      <c r="AQ15" s="9">
        <v>0</v>
      </c>
      <c r="AR15" s="9">
        <v>2</v>
      </c>
      <c r="AS15" s="9">
        <v>2</v>
      </c>
      <c r="AT15" s="9">
        <v>2</v>
      </c>
      <c r="AU15" s="10" t="str">
        <f>AV15/AW15</f>
        <v>0</v>
      </c>
      <c r="AV15" s="9">
        <v>0</v>
      </c>
      <c r="AW15" s="9">
        <v>2</v>
      </c>
      <c r="AX15" s="9">
        <v>2</v>
      </c>
      <c r="AY15" s="9">
        <v>2</v>
      </c>
      <c r="AZ15" s="10" t="str">
        <f>BA15/BB15</f>
        <v>1</v>
      </c>
      <c r="BA15" s="9">
        <v>1</v>
      </c>
      <c r="BB15" s="9">
        <v>1</v>
      </c>
      <c r="BC15" s="9">
        <v>1</v>
      </c>
      <c r="BD15" s="9">
        <v>1</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0.3375796178343949</v>
      </c>
      <c r="C18" s="16">
        <v>53</v>
      </c>
      <c r="D18" s="16">
        <v>157</v>
      </c>
      <c r="E18" s="16">
        <v>157</v>
      </c>
      <c r="F18" s="16">
        <v>157</v>
      </c>
      <c r="G18" s="17" t="str">
        <f>H18/I18</f>
        <v>0.45454545454545453</v>
      </c>
      <c r="H18" s="16">
        <v>15</v>
      </c>
      <c r="I18" s="16">
        <v>33</v>
      </c>
      <c r="J18" s="16">
        <v>33</v>
      </c>
      <c r="K18" s="16">
        <v>33</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0.2951219512195122</v>
      </c>
      <c r="BU18" s="16">
        <v>121</v>
      </c>
      <c r="BV18" s="16">
        <v>410</v>
      </c>
      <c r="BW18" s="16">
        <v>410</v>
      </c>
      <c r="BX18" s="16">
        <v>410</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0.125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0</v>
      </c>
      <c r="L13" s="10" t="str">
        <f>'통계표'!$AZ$15</f>
        <v>1</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2026-09-29T10:29:48.268Z</dcterms:created>
  <dcterms:modified xsi:type="dcterms:W3CDTF">2026-09-29T10:29:48.268Z</dcterms:modified>
</coreProperties>
</file>
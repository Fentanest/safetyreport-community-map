
<file path=[Content_Types].xml><?xml version="1.0" encoding="utf-8"?>
<Types xmlns="http://schemas.openxmlformats.org/package/2006/content-types">
  <Default Extension="rels" ContentType="application/vnd.openxmlformats-package.relationships+xml"/>
  <Default Extension="xml" ContentType="application/xml"/>
  <Default Extension="ico" ContentType="image/x-ico"/>
  <Default Extension="jpeg" ContentType="image/jpeg"/>
  <Default Extension="png" ContentType="image/png"/>
  <Default Extension="tiff" ContentType="image/tiff"/>
  <Default Extension="emf" ContentType="image/x-emf"/>
  <Default Extension="emz" ContentType="image/x-emz"/>
  <Default Extension="wmz" ContentType="image/x-wmz"/>
  <Default Extension="bmp" ContentType="image/bmp"/>
  <Default Extension="gif" ContentType="image/gif"/>
  <Default Extension="svg" ContentType="image/svg"/>
  <Default Extension="wmf" ContentType="image/x-wmf"/>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harts/chart1.xml" ContentType="application/vnd.openxmlformats-officedocument.drawingml.chart+xml"/>
  <Override PartName="/xl/drawings/drawing1.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통계표" sheetId="1" r:id="rId1"/>
    <sheet name="차트" sheetId="2" r:id="rId4"/>
    <sheet name="차트 데이터" sheetId="3" r:id="rId5"/>
    <sheet name="조회 조건" sheetId="4" r:id="rId6"/>
  </sheets>
  <calcPr calcId="122211" fullCalcOnLoad="true"/>
</workbook>
</file>

<file path=xl/sharedStrings.xml><?xml version="1.0" encoding="utf-8"?>
<sst xmlns="http://schemas.openxmlformats.org/spreadsheetml/2006/main" count="67" uniqueCount="67">
  <si>
    <t>맞춤 통계 · 기관 · 수용 건수, 일부 수용 건수, 불수용 건수</t>
  </si>
  <si>
    <t>2026-09-29 18:45:29 (Asia/Seoul) 기준 집계 snapshot · 조건은 ‘조회 조건’ 시트</t>
  </si>
  <si>
    <t/>
  </si>
  <si>
    <t>기관</t>
  </si>
  <si>
    <t>수용 건수</t>
  </si>
  <si>
    <t>수용 건수 · 값</t>
  </si>
  <si>
    <t>수용 건수 · 분자</t>
  </si>
  <si>
    <t>일부 수용 건수</t>
  </si>
  <si>
    <t>일부 수용 건수 · 값</t>
  </si>
  <si>
    <t>일부 수용 건수 · 분자</t>
  </si>
  <si>
    <t>불수용 건수</t>
  </si>
  <si>
    <t>불수용 건수 · 값</t>
  </si>
  <si>
    <t>불수용 건수 · 분자</t>
  </si>
  <si>
    <t>예시 대구수성경찰서</t>
  </si>
  <si>
    <t>예시 서울중부경찰서</t>
  </si>
  <si>
    <t>예시 강남구청</t>
  </si>
  <si>
    <t>예시 수원시청</t>
  </si>
  <si>
    <t>예시 인천남동경찰서</t>
  </si>
  <si>
    <t>예시 해운대구청</t>
  </si>
  <si>
    <t>예시 부산연제경찰서</t>
  </si>
  <si>
    <t>예시 대전서구청</t>
  </si>
  <si>
    <t>예시 광주북구청</t>
  </si>
  <si>
    <t>예시 제주시청</t>
  </si>
  <si>
    <t>합계</t>
  </si>
  <si>
    <t>합계·행 합계는 칸을 더하거나 평균한 값이 아니라 서버가 원 신고에서 다시 계산한 값입니다(비율 1/1과 9/99의 합계는 10/100 = 10%).</t>
  </si>
  <si>
    <t>비율 칸은 같은 행의 분자 ÷ 분모 수식입니다(분모가 0이면 수식 대신 ‘분모 없음’). 비율 서식은 0~100%이며 칸의 실제 값은 0~1입니다.</t>
  </si>
  <si>
    <t>중앙값·P90·고유 건수 같은 값은 서버가 확정한 값입니다(이 파일의 칸으로 다시 계산할 수 없습니다).</t>
  </si>
  <si>
    <t>‘—’는 그 조합의 답변 신고가 없다는 뜻이며 0이 아닙니다.</t>
  </si>
  <si>
    <t>차트 데이터</t>
  </si>
  <si>
    <t>차트가 읽는 집계 칸입니다(개별 신고가 아닙니다). 값 칸은 ‘통계표’ 시트의 칸을 가리키는 수식이라 통계표의 분자·분모를 고치면 차트도 바뀝니다. 이 시트의 값 칸에 숫자를 직접 넣어도 차트에 반영되지만 통계표와는 달라집니다. 빈 칸은 값이 없다는 뜻(0 아님)입니다.</t>
  </si>
  <si>
    <t>맞춤 통계 · 기관 · 수용 건수, 일부 수용 건수, 불수용 건수 · 차트</t>
  </si>
  <si>
    <t>수용 건수·일부 수용 건수·불수용 건수 · 100% 누적</t>
  </si>
  <si>
    <t>100%는 원래 분모(모든 항목의 합)입니다. 숨긴 항목이 있으면 막대가 100%까지 차지 않으며 남은 항목을 다시 100%로 늘리지 않았습니다.</t>
  </si>
  <si>
    <t>맞춤 통계 · 기관 · 수용 건수, 일부 수용 건수, 불수용 건수 · 조회 조건</t>
  </si>
  <si>
    <t>내보낸 시각</t>
  </si>
  <si>
    <t>2026-09-29 18:45:29 (Asia/Seoul)</t>
  </si>
  <si>
    <t>자료 버전</t>
  </si>
  <si>
    <t>e2e-synthetic-1</t>
  </si>
  <si>
    <t>기간</t>
  </si>
  <si>
    <t>2025-09-30 — 2026-09-29 (Asia/Seoul 날짜, 양 끝 포함)</t>
  </si>
  <si>
    <t>날짜 기준</t>
  </si>
  <si>
    <t>답변 받은 날</t>
  </si>
  <si>
    <t>대상 범위</t>
  </si>
  <si>
    <t>전국 · 모든 분류</t>
  </si>
  <si>
    <t>누구의 신고</t>
  </si>
  <si>
    <t>전체</t>
  </si>
  <si>
    <t>행</t>
  </si>
  <si>
    <t>열</t>
  </si>
  <si>
    <t>없음</t>
  </si>
  <si>
    <t>지표</t>
  </si>
  <si>
    <t>수용 건수, 일부 수용 건수, 불수용 건수</t>
  </si>
  <si>
    <t>비교 대상</t>
  </si>
  <si>
    <t>고르지 않음(전체)</t>
  </si>
  <si>
    <t>답변 신고</t>
  </si>
  <si>
    <t>전체 410건</t>
  </si>
  <si>
    <t>표 정렬</t>
  </si>
  <si>
    <t>서버 순서</t>
  </si>
  <si>
    <t>그래프</t>
  </si>
  <si>
    <t>100% 누적 요청 → 100% 누적</t>
  </si>
  <si>
    <t>지표 정의</t>
  </si>
  <si>
    <t>수용 건수: A · 일부 수용 건수: P · 불수용 건수: R</t>
  </si>
  <si>
    <t>빈 값</t>
  </si>
  <si>
    <t>‘—’ 해당 조합 신고 없음 · ‘분모 없음’ 분모가 0 · ‘자료 없음’ 계산할 자료가 없음. 모두 0이 아닙니다.</t>
  </si>
  <si>
    <t>그래프 범례</t>
  </si>
  <si>
    <t>그래프에서 숨긴 계열: 수용 건수, 일부 수용 건수, 불수용 건수 — 이 파일의 차트에는 포함했습니다</t>
  </si>
  <si>
    <t>이 파일</t>
  </si>
  <si>
    <t>조회 당시 집계 결과의 snapshot입니다. Excel에서 자료를 다시 불러오지 않으며, 지도 사이트의 최신 자료와 다를 수 있습니다. 개별 신고·차량번호·신고번호·계정 정보는 들어 있지 않습니다. 파일을 다른 사람에게 보내면 그 안의 집계와 이름을 볼 수 있습니다.</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</si>
</sst>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7">
    <numFmt numFmtId="164" formatCode="#,##0&quot;건&quot;"/>
    <numFmt numFmtId="165" formatCode="0.0%"/>
    <numFmt numFmtId="166" formatCode="#,##0&quot;원&quot;"/>
    <numFmt numFmtId="167" formatCode="0.0&quot;일&quot;"/>
    <numFmt numFmtId="168" formatCode="0.00&quot;점&quot;"/>
    <numFmt numFmtId="169" formatCode="yyyy-mm"/>
    <numFmt numFmtId="170" formatCode="@"/>
  </numFmts>
  <fonts count="6">
    <font>
      <name val="Calibri"/>
      <family val="2"/>
      <color theme="1"/>
      <sz val="11"/>
    </font>
    <font>
      <name val="맑은 고딕"/>
      <family val="2"/>
      <b val="1"/>
      <color rgb="FF111827"/>
      <sz val="14"/>
    </font>
    <font>
      <name val="맑은 고딕"/>
      <family val="2"/>
      <color rgb="FF4B5563"/>
      <sz val="10"/>
    </font>
    <font>
      <name val="맑은 고딕"/>
      <family val="2"/>
      <b val="1"/>
      <color rgb="FF1F2937"/>
      <sz val="10"/>
    </font>
    <font>
      <name val="맑은 고딕"/>
      <family val="2"/>
      <color rgb="FF1F2937"/>
      <sz val="10"/>
    </font>
    <font>
      <name val="맑은 고딕"/>
      <family val="2"/>
      <i val="1"/>
      <color rgb="FF6B7280"/>
      <sz val="10"/>
    </font>
  </fonts>
  <fills count="4">
    <fill>
      <patternFill patternType="none"/>
    </fill>
    <fill>
      <patternFill patternType="gray125"/>
    </fill>
    <fill>
      <patternFill patternType="solid">
        <fgColor rgb="FFF3F4F6"/>
      </patternFill>
    </fill>
    <fill>
      <patternFill patternType="solid">
        <fgColor rgb="FFF9FAFB"/>
      </patternFill>
    </fill>
  </fills>
  <borders count="2">
    <border>
      <left/>
      <right/>
      <top/>
      <bottom/>
      <diagonal/>
    </border>
    <border>
      <bottom style="thin">
        <color rgb="FFD1D5DB"/>
      </bottom>
    </border>
  </borders>
  <cellStyleXfs count="1">
    <xf numFmtId="0" fontId="0" fillId="0" borderId="0"/>
  </cellStyleXfs>
  <cellXfs count="23">
    <xf numFmtId="0" fontId="0" fillId="0" borderId="0" xfId="0"/>
    <xf numFmtId="0" fontId="1" fillId="0" borderId="0" xfId="0" applyFont="true" applyAlignment="false">
      <alignment/>
    </xf>
    <xf numFmtId="0" fontId="2" fillId="0" borderId="0" xfId="0" applyFont="true" applyAlignment="true">
      <alignment vertical="top" wrapText="true"/>
    </xf>
    <xf numFmtId="0" fontId="2" fillId="0" borderId="0" xfId="0" applyFont="true" applyAlignment="false">
      <alignment/>
    </xf>
    <xf numFmtId="0" fontId="3" fillId="2" borderId="1" xfId="0" applyFont="true" applyFill="true" applyBorder="true" applyAlignment="true">
      <alignment horizontal="center" vertical="center" wrapText="true"/>
    </xf>
    <xf numFmtId="0" fontId="4" fillId="0" borderId="0" xfId="0" applyFont="true" applyAlignment="true">
      <alignment vertical="top" wrapText="true"/>
    </xf>
    <xf numFmtId="0" fontId="3" fillId="3" borderId="0" xfId="0" applyFont="true" applyFill="true" applyAlignment="false">
      <alignment/>
    </xf>
    <xf numFmtId="0" fontId="5" fillId="0" borderId="0" xfId="0" applyFont="true" applyAlignment="true">
      <alignment horizontal="right"/>
    </xf>
    <xf numFmtId="0" fontId="3" fillId="0" borderId="0" xfId="0" applyFont="true" applyAlignment="true">
      <alignment vertical="top"/>
    </xf>
    <xf numFmtId="164" fontId="4" fillId="0" borderId="0" xfId="0" applyNumberFormat="true" applyFont="true" applyAlignment="true">
      <alignment horizontal="right"/>
    </xf>
    <xf numFmtId="165" fontId="4" fillId="0" borderId="0" xfId="0" applyNumberFormat="true" applyFont="true" applyAlignment="true">
      <alignment horizontal="right"/>
    </xf>
    <xf numFmtId="166" fontId="4" fillId="0" borderId="0" xfId="0" applyNumberFormat="true" applyFont="true" applyAlignment="true">
      <alignment horizontal="right"/>
    </xf>
    <xf numFmtId="167" fontId="4" fillId="0" borderId="0" xfId="0" applyNumberFormat="true" applyFont="true" applyAlignment="true">
      <alignment horizontal="right"/>
    </xf>
    <xf numFmtId="168" fontId="4" fillId="0" borderId="0" xfId="0" applyNumberFormat="true" applyFont="true" applyAlignment="true">
      <alignment horizontal="right"/>
    </xf>
    <xf numFmtId="169" fontId="4" fillId="0" borderId="0" xfId="0" applyNumberFormat="true" applyFont="true" applyAlignment="true">
      <alignment horizontal="right"/>
    </xf>
    <xf numFmtId="170" fontId="4" fillId="0" borderId="0" xfId="0" applyNumberFormat="true" applyFont="true" applyAlignment="true">
      <alignment horizontal="left"/>
    </xf>
    <xf numFmtId="164" fontId="3" fillId="3" borderId="0" xfId="0" applyNumberFormat="true" applyFont="true" applyFill="true" applyAlignment="true">
      <alignment horizontal="right"/>
    </xf>
    <xf numFmtId="165" fontId="3" fillId="3" borderId="0" xfId="0" applyNumberFormat="true" applyFont="true" applyFill="true" applyAlignment="true">
      <alignment horizontal="right"/>
    </xf>
    <xf numFmtId="166" fontId="3" fillId="3" borderId="0" xfId="0" applyNumberFormat="true" applyFont="true" applyFill="true" applyAlignment="true">
      <alignment horizontal="right"/>
    </xf>
    <xf numFmtId="167" fontId="3" fillId="3" borderId="0" xfId="0" applyNumberFormat="true" applyFont="true" applyFill="true" applyAlignment="true">
      <alignment horizontal="right"/>
    </xf>
    <xf numFmtId="168" fontId="3" fillId="3" borderId="0" xfId="0" applyNumberFormat="true" applyFont="true" applyFill="true" applyAlignment="true">
      <alignment horizontal="right"/>
    </xf>
    <xf numFmtId="169" fontId="3" fillId="3" borderId="0" xfId="0" applyNumberFormat="true" applyFont="true" applyFill="true" applyAlignment="true">
      <alignment horizontal="right"/>
    </xf>
    <xf numFmtId="170" fontId="3" fillId="3" borderId="0" xfId="0" applyNumberFormat="true" applyFont="true" applyFill="true" applyAlignment="true">
      <alignment horizontal="righ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worksheets/sheet4.xml" Type="http://schemas.openxmlformats.org/officeDocument/2006/relationships/worksheet"></Relationship><Relationship Id="rId7" Target="/xl/sharedStrings.xml" Type="http://schemas.openxmlformats.org/officeDocument/2006/relationships/sharedStrings"></Relationship></Relationships>
</file>

<file path=xl/charts/chart1.xml><?xml version="1.0" encoding="utf-8"?>
<chartSpace xmlns="http://schemas.openxmlformats.org/drawingml/2006/chart" xmlns:a="http://schemas.openxmlformats.org/drawingml/2006/main">
  <date1904 val="0"/>
  <lang val="en-US"/>
  <roundedCorners val="0"/>
  <chart>
    <title>
      <tx>
        <rich>
          <a:bodyPr anchorCtr="false" rot="0" spcFirstLastPara="false"/>
          <a:p>
            <a:pPr>
              <a:defRPr b="false" baseline="0" i="false" kern="0" spc="0">
                <a:latin typeface="+mn-lt"/>
                <a:ea typeface="+mn-ea"/>
                <a:cs typeface="+mn-cs"/>
              </a:defRPr>
            </a:pPr>
            <a:r>
              <a:rPr b="true" baseline="0" i="false" kern="0" spc="0" sz="1200">
                <a:solidFill>
                  <a:srgbClr val="595959"/>
                </a:solidFill>
                <a:latin typeface="맑은 고딕"/>
                <a:ea typeface="맑은 고딕"/>
                <a:cs typeface="맑은 고딕"/>
              </a:rPr>
              <a:t>수용 건수·일부 수용 건수·불수용 건수 · 100% 누적</a:t>
            </a:r>
            <a:endParaRPr lang="en-US" altLang="en-US"/>
          </a:p>
        </rich>
      </tx>
      <overlay val="0"/>
      <spPr/>
      <txPr>
        <a:bodyPr anchorCtr="false" rot="0" spcFirstLastPara="false"/>
        <a:p/>
      </txPr>
    </title>
    <view3D>
      <rotX val="0"/>
      <rotY val="0"/>
      <rAngAx val="0"/>
      <perspective val="0"/>
    </view3D>
    <floor>
      <thickness val="0"/>
    </floor>
    <sideWall>
      <thickness val="0"/>
    </sideWall>
    <backWall>
      <thickness val="0"/>
    </backWall>
    <plotArea>
      <barChart>
        <barDir val="col"/>
        <grouping val="stacked"/>
        <varyColors val="0"/>
        <ser>
          <idx val="0"/>
          <order val="0"/>
          <tx>
            <strRef>
              <f>'차트 데이터'!$B$5</f>
            </strRef>
          </tx>
          <spPr>
            <a:solidFill>
              <a:srgbClr val="16A34A"/>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데이터'!$A$6:$A$15</f>
            </strRef>
          </cat>
          <val>
            <numRef>
              <f>'차트 데이터'!$B$6:$B$15</f>
              <numCache>
                <formatCode/>
              </numCache>
            </numRef>
          </val>
          <smooth val="0"/>
        </ser>
        <ser>
          <idx val="1"/>
          <order val="1"/>
          <tx>
            <strRef>
              <f>'차트 데이터'!$C$5</f>
            </strRef>
          </tx>
          <spPr>
            <a:solidFill>
              <a:srgbClr val="F59E0B"/>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데이터'!$A$6:$A$15</f>
            </strRef>
          </cat>
          <val>
            <numRef>
              <f>'차트 데이터'!$C$6:$C$15</f>
              <numCache>
                <formatCode/>
              </numCache>
            </numRef>
          </val>
          <smooth val="0"/>
        </ser>
        <ser>
          <idx val="2"/>
          <order val="2"/>
          <tx>
            <strRef>
              <f>'차트 데이터'!$D$5</f>
            </strRef>
          </tx>
          <spPr>
            <a:solidFill>
              <a:srgbClr val="DC2626"/>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데이터'!$A$6:$A$15</f>
            </strRef>
          </cat>
          <val>
            <numRef>
              <f>'차트 데이터'!$D$6:$D$15</f>
              <numCache>
                <formatCode/>
              </numCache>
            </numRef>
          </val>
          <smooth val="0"/>
        </ser>
        <dLbls>
          <showLegendKey val="0"/>
          <showVal val="0"/>
          <showCatName val="0"/>
          <showSerName val="0"/>
          <showPercent val="0"/>
          <showBubbleSize val="0"/>
          <showLeaderLines val="0"/>
        </dLbls>
        <gapWidth val="60"/>
        <overlap val="100"/>
        <axId val="100000000"/>
        <axId val="100000001"/>
      </barChart>
      <catAx>
        <axId val="100000000"/>
        <scaling>
          <orientation val="minMax"/>
        </scaling>
        <delete val="0"/>
        <axPos val="b"/>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맑은 고딕"/>
                <a:ea typeface="맑은 고딕"/>
                <a:cs typeface="맑은 고딕"/>
              </a:defRPr>
            </a:pPr>
            <a:endParaRPr lang="en-US"/>
          </a:p>
        </txPr>
        <crossAx val="100000001"/>
        <crosses val="autoZero"/>
        <auto val="1"/>
        <lblAlgn val="ctr"/>
        <lblOffset val="100"/>
        <noMultiLvlLbl val="0"/>
      </catAx>
      <valAx>
        <axId val="100000001"/>
        <scaling>
          <orientation val="minMax"/>
          <max val="1"/>
          <min val="0"/>
        </scaling>
        <delete val="0"/>
        <axPos val="l"/>
        <majorGridlines>
          <spPr>
            <a:ln algn="ctr" cap="flat" cmpd="sng" w="9525">
              <a:solidFill>
                <a:schemeClr val="tx1">
                  <a:lumMod val="15000"/>
                  <a:lumOff val="85000"/>
                </a:schemeClr>
              </a:solidFill>
            </a:ln>
          </spPr>
        </majorGridlines>
        <numFmt formatCode="0%"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0"/>
        <crosses val="autoZero"/>
        <crossBetween val="between"/>
      </valAx>
      <spPr/>
    </plotArea>
    <legend>
      <legendPos val="b"/>
      <overlay val="0"/>
    </legend>
    <plotVisOnly val="0"/>
    <dispBlanksAs val="gap"/>
    <showDLblsOverMax val="0"/>
  </chart>
  <spPr/>
  <printSettings>
    <pageMargins b="0.75" footer="0.3" header="0.3" l="0.7" r="0.7" t="0.7"/>
  </printSettings>
</chartSpace>
</file>

<file path=xl/drawings/_rels/drawing1.xml.rels><?xml version="1.0" encoding="UTF-8"?>
<Relationships xmlns="http://schemas.openxmlformats.org/package/2006/relationships"><Relationship Id="rId1" Target="../charts/chart1.xml" Type="http://schemas.openxmlformats.org/officeDocument/2006/relationships/chart"></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1</xdr:col>
      <xdr:colOff>0</xdr:colOff>
      <xdr:row>4</xdr:row>
      <xdr:rowOff>0</xdr:rowOff>
    </xdr:from>
    <xdr:to>
      <xdr:col>13</xdr:col>
      <xdr:colOff>495300</xdr:colOff>
      <xdr:row>22</xdr:row>
      <xdr:rowOff>0</xdr:rowOff>
    </xdr:to>
    <xdr:graphicFrame macro="">
      <xdr:nvGraphicFramePr>
        <xdr:cNvPr id="2" name="Chart 2"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true" fPrintsWithSheet="true"/>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Right" state="frozen" topLeftCell="B8" xSplit="1" ySplit="7"/>
    </sheetView>
  </sheetViews>
  <sheetFormatPr defaultRowHeight="15"/>
  <cols>
    <col customWidth="true" max="1" min="1" width="24"/>
    <col customWidth="true" max="7" min="2" width="14"/>
  </cols>
  <sheetData>
    <row r="1">
      <c r="A1" s="1" t="s">
        <v>0</v>
      </c>
    </row>
    <row r="2">
      <c r="A2" s="3" t="s">
        <v>1</v>
      </c>
    </row>
    <row r="4">
      <c r="A4" s="4" t="s">
        <v>2</v>
      </c>
      <c r="B4" s="4" t="s">
        <v>2</v>
      </c>
      <c r="C4" s="4" t="s">
        <v>2</v>
      </c>
      <c r="D4" s="4" t="s">
        <v>2</v>
      </c>
      <c r="E4" s="4" t="s">
        <v>2</v>
      </c>
      <c r="F4" s="4" t="s">
        <v>2</v>
      </c>
      <c r="G4" s="4" t="s">
        <v>2</v>
      </c>
    </row>
    <row r="5">
      <c r="A5" s="4" t="s">
        <v>2</v>
      </c>
      <c r="B5" s="4" t="s">
        <v>4</v>
      </c>
      <c r="C5" s="4" t="s">
        <v>4</v>
      </c>
      <c r="D5" s="4" t="s">
        <v>7</v>
      </c>
      <c r="E5" s="4" t="s">
        <v>7</v>
      </c>
      <c r="F5" s="4" t="s">
        <v>10</v>
      </c>
      <c r="G5" s="4" t="s">
        <v>10</v>
      </c>
    </row>
    <row r="6">
      <c r="A6" s="4" t="s">
        <v>2</v>
      </c>
      <c r="B6" s="4" t="s">
        <v>2</v>
      </c>
      <c r="C6" s="4" t="s">
        <v>2</v>
      </c>
      <c r="D6" s="4" t="s">
        <v>2</v>
      </c>
      <c r="E6" s="4" t="s">
        <v>2</v>
      </c>
      <c r="F6" s="4" t="s">
        <v>2</v>
      </c>
      <c r="G6" s="4" t="s">
        <v>2</v>
      </c>
    </row>
    <row r="7">
      <c r="A7" s="4" t="s">
        <v>3</v>
      </c>
      <c r="B7" s="4" t="s">
        <v>5</v>
      </c>
      <c r="C7" s="4" t="s">
        <v>6</v>
      </c>
      <c r="D7" s="4" t="s">
        <v>8</v>
      </c>
      <c r="E7" s="4" t="s">
        <v>9</v>
      </c>
      <c r="F7" s="4" t="s">
        <v>11</v>
      </c>
      <c r="G7" s="4" t="s">
        <v>12</v>
      </c>
    </row>
    <row r="8">
      <c r="A8" s="5" t="s">
        <v>13</v>
      </c>
      <c r="B8" s="9">
        <v>40</v>
      </c>
      <c r="C8" s="9">
        <v>40</v>
      </c>
      <c r="D8" s="9">
        <v>31</v>
      </c>
      <c r="E8" s="9">
        <v>31</v>
      </c>
      <c r="F8" s="9">
        <v>31</v>
      </c>
      <c r="G8" s="9">
        <v>31</v>
      </c>
    </row>
    <row r="9">
      <c r="A9" s="5" t="s">
        <v>14</v>
      </c>
      <c r="B9" s="9">
        <v>32</v>
      </c>
      <c r="C9" s="9">
        <v>32</v>
      </c>
      <c r="D9" s="9">
        <v>11</v>
      </c>
      <c r="E9" s="9">
        <v>11</v>
      </c>
      <c r="F9" s="9">
        <v>11</v>
      </c>
      <c r="G9" s="9">
        <v>11</v>
      </c>
    </row>
    <row r="10">
      <c r="A10" s="5" t="s">
        <v>15</v>
      </c>
      <c r="B10" s="9">
        <v>33</v>
      </c>
      <c r="C10" s="9">
        <v>33</v>
      </c>
      <c r="D10" s="9">
        <v>3</v>
      </c>
      <c r="E10" s="9">
        <v>3</v>
      </c>
      <c r="F10" s="9">
        <v>11</v>
      </c>
      <c r="G10" s="9">
        <v>11</v>
      </c>
    </row>
    <row r="11">
      <c r="A11" s="5" t="s">
        <v>16</v>
      </c>
      <c r="B11" s="9">
        <v>28</v>
      </c>
      <c r="C11" s="9">
        <v>28</v>
      </c>
      <c r="D11" s="9">
        <v>5</v>
      </c>
      <c r="E11" s="9">
        <v>5</v>
      </c>
      <c r="F11" s="9">
        <v>11</v>
      </c>
      <c r="G11" s="9">
        <v>11</v>
      </c>
    </row>
    <row r="12">
      <c r="A12" s="5" t="s">
        <v>17</v>
      </c>
      <c r="B12" s="9">
        <v>7</v>
      </c>
      <c r="C12" s="9">
        <v>7</v>
      </c>
      <c r="D12" s="9">
        <v>6</v>
      </c>
      <c r="E12" s="9">
        <v>6</v>
      </c>
      <c r="F12" s="9">
        <v>12</v>
      </c>
      <c r="G12" s="9">
        <v>12</v>
      </c>
    </row>
    <row r="13">
      <c r="A13" s="5" t="s">
        <v>18</v>
      </c>
      <c r="B13" s="9">
        <v>12</v>
      </c>
      <c r="C13" s="9">
        <v>12</v>
      </c>
      <c r="D13" s="9">
        <v>3</v>
      </c>
      <c r="E13" s="9">
        <v>3</v>
      </c>
      <c r="F13" s="9">
        <v>4</v>
      </c>
      <c r="G13" s="9">
        <v>4</v>
      </c>
    </row>
    <row r="14">
      <c r="A14" s="5" t="s">
        <v>19</v>
      </c>
      <c r="B14" s="9">
        <v>9</v>
      </c>
      <c r="C14" s="9">
        <v>9</v>
      </c>
      <c r="D14" s="9">
        <v>1</v>
      </c>
      <c r="E14" s="9">
        <v>1</v>
      </c>
      <c r="F14" s="9">
        <v>5</v>
      </c>
      <c r="G14" s="9">
        <v>5</v>
      </c>
    </row>
    <row r="15">
      <c r="A15" s="5" t="s">
        <v>20</v>
      </c>
      <c r="B15" s="9">
        <v>9</v>
      </c>
      <c r="C15" s="9">
        <v>9</v>
      </c>
      <c r="D15" s="9">
        <v>2</v>
      </c>
      <c r="E15" s="9">
        <v>2</v>
      </c>
      <c r="F15" s="9">
        <v>5</v>
      </c>
      <c r="G15" s="9">
        <v>5</v>
      </c>
    </row>
    <row r="16">
      <c r="A16" s="5" t="s">
        <v>21</v>
      </c>
      <c r="B16" s="9">
        <v>6</v>
      </c>
      <c r="C16" s="9">
        <v>6</v>
      </c>
      <c r="D16" s="9">
        <v>2</v>
      </c>
      <c r="E16" s="9">
        <v>2</v>
      </c>
      <c r="F16" s="9">
        <v>2</v>
      </c>
      <c r="G16" s="9">
        <v>2</v>
      </c>
    </row>
    <row r="17">
      <c r="A17" s="5" t="s">
        <v>22</v>
      </c>
      <c r="B17" s="9">
        <v>9</v>
      </c>
      <c r="C17" s="9">
        <v>9</v>
      </c>
      <c r="D17" s="9">
        <v>1</v>
      </c>
      <c r="E17" s="9">
        <v>1</v>
      </c>
      <c r="F17" s="9">
        <v>1</v>
      </c>
      <c r="G17" s="9">
        <v>1</v>
      </c>
    </row>
    <row r="18">
      <c r="A18" s="6" t="s">
        <v>23</v>
      </c>
      <c r="B18" s="16">
        <v>185</v>
      </c>
      <c r="C18" s="16">
        <v>185</v>
      </c>
      <c r="D18" s="16">
        <v>65</v>
      </c>
      <c r="E18" s="16">
        <v>65</v>
      </c>
      <c r="F18" s="16">
        <v>93</v>
      </c>
      <c r="G18" s="16">
        <v>93</v>
      </c>
    </row>
    <row r="20">
      <c r="A20" s="3" t="s">
        <v>24</v>
      </c>
    </row>
    <row r="21">
      <c r="A21" s="3" t="s">
        <v>25</v>
      </c>
    </row>
    <row r="22">
      <c r="A22" s="3" t="s">
        <v>26</v>
      </c>
    </row>
    <row r="23">
      <c r="A23" s="3" t="s">
        <v>27</v>
      </c>
    </row>
  </sheetData>
</worksheet>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workbookViewId="0"/>
  </sheetViews>
  <cols>
    <col customWidth="true" max="1" min="1" width="24"/>
  </cols>
  <sheetData>
    <row r="1">
      <c r="A1" s="1" t="s">
        <v>30</v>
      </c>
    </row>
    <row r="3">
      <c r="A3" s="8" t="s">
        <v>31</v>
      </c>
    </row>
    <row r="4">
      <c r="A4" s="3" t="s">
        <v>32</v>
      </c>
    </row>
  </sheetData>
  <drawing r:id="rId1"/>
</worksheet>
</file>

<file path=xl/worksheets/sheet3.xml><?xml version="1.0" encoding="utf-8"?>
<worksheet xmlns="http://schemas.openxmlformats.org/spreadsheetml/2006/main">
  <dimension ref="A1"/>
  <sheetViews>
    <sheetView workbookViewId="0"/>
  </sheetViews>
  <cols>
    <col customWidth="true" max="1" min="1" width="26"/>
    <col customWidth="true" max="26" min="2" width="16"/>
  </cols>
  <sheetData>
    <row r="1">
      <c r="A1" s="1" t="s">
        <v>28</v>
      </c>
    </row>
    <row r="2">
      <c r="A2" s="3" t="s">
        <v>29</v>
      </c>
    </row>
    <row r="4">
      <c r="A4" s="8" t="s">
        <v>31</v>
      </c>
    </row>
    <row r="5">
      <c r="A5" s="4" t="s">
        <v>3</v>
      </c>
      <c r="B5" s="4" t="s">
        <v>4</v>
      </c>
      <c r="C5" s="4" t="s">
        <v>7</v>
      </c>
      <c r="D5" s="4" t="s">
        <v>10</v>
      </c>
    </row>
    <row r="6">
      <c r="A6" s="5" t="s">
        <v>13</v>
      </c>
      <c r="B6" s="10" t="str">
        <f>'통계표'!$B$8/SUM('통계표'!$B$8,'통계표'!$D$8,'통계표'!$F$8)</f>
        <v>0.39215686274509803</v>
      </c>
      <c r="C6" s="10" t="str">
        <f>'통계표'!$D$8/SUM('통계표'!$B$8,'통계표'!$D$8,'통계표'!$F$8)</f>
        <v>0.30392156862745096</v>
      </c>
      <c r="D6" s="10" t="str">
        <f>'통계표'!$F$8/SUM('통계표'!$B$8,'통계표'!$D$8,'통계표'!$F$8)</f>
        <v>0.30392156862745096</v>
      </c>
    </row>
    <row r="7">
      <c r="A7" s="5" t="s">
        <v>14</v>
      </c>
      <c r="B7" s="10" t="str">
        <f>'통계표'!$B$9/SUM('통계표'!$B$9,'통계표'!$D$9,'통계표'!$F$9)</f>
        <v>0.5925925925925926</v>
      </c>
      <c r="C7" s="10" t="str">
        <f>'통계표'!$D$9/SUM('통계표'!$B$9,'통계표'!$D$9,'통계표'!$F$9)</f>
        <v>0.2037037037037037</v>
      </c>
      <c r="D7" s="10" t="str">
        <f>'통계표'!$F$9/SUM('통계표'!$B$9,'통계표'!$D$9,'통계표'!$F$9)</f>
        <v>0.2037037037037037</v>
      </c>
    </row>
    <row r="8">
      <c r="A8" s="5" t="s">
        <v>15</v>
      </c>
      <c r="B8" s="10" t="str">
        <f>'통계표'!$B$10/SUM('통계표'!$B$10,'통계표'!$D$10,'통계표'!$F$10)</f>
        <v>0.7021276595744681</v>
      </c>
      <c r="C8" s="10" t="str">
        <f>'통계표'!$D$10/SUM('통계표'!$B$10,'통계표'!$D$10,'통계표'!$F$10)</f>
        <v>0.06382978723404255</v>
      </c>
      <c r="D8" s="10" t="str">
        <f>'통계표'!$F$10/SUM('통계표'!$B$10,'통계표'!$D$10,'통계표'!$F$10)</f>
        <v>0.23404255319148937</v>
      </c>
    </row>
    <row r="9">
      <c r="A9" s="5" t="s">
        <v>16</v>
      </c>
      <c r="B9" s="10" t="str">
        <f>'통계표'!$B$11/SUM('통계표'!$B$11,'통계표'!$D$11,'통계표'!$F$11)</f>
        <v>0.6363636363636364</v>
      </c>
      <c r="C9" s="10" t="str">
        <f>'통계표'!$D$11/SUM('통계표'!$B$11,'통계표'!$D$11,'통계표'!$F$11)</f>
        <v>0.11363636363636363</v>
      </c>
      <c r="D9" s="10" t="str">
        <f>'통계표'!$F$11/SUM('통계표'!$B$11,'통계표'!$D$11,'통계표'!$F$11)</f>
        <v>0.25</v>
      </c>
    </row>
    <row r="10">
      <c r="A10" s="5" t="s">
        <v>17</v>
      </c>
      <c r="B10" s="10" t="str">
        <f>'통계표'!$B$12/SUM('통계표'!$B$12,'통계표'!$D$12,'통계표'!$F$12)</f>
        <v>0.28</v>
      </c>
      <c r="C10" s="10" t="str">
        <f>'통계표'!$D$12/SUM('통계표'!$B$12,'통계표'!$D$12,'통계표'!$F$12)</f>
        <v>0.24</v>
      </c>
      <c r="D10" s="10" t="str">
        <f>'통계표'!$F$12/SUM('통계표'!$B$12,'통계표'!$D$12,'통계표'!$F$12)</f>
        <v>0.48</v>
      </c>
    </row>
    <row r="11">
      <c r="A11" s="5" t="s">
        <v>18</v>
      </c>
      <c r="B11" s="10" t="str">
        <f>'통계표'!$B$13/SUM('통계표'!$B$13,'통계표'!$D$13,'통계표'!$F$13)</f>
        <v>0.631578947368421</v>
      </c>
      <c r="C11" s="10" t="str">
        <f>'통계표'!$D$13/SUM('통계표'!$B$13,'통계표'!$D$13,'통계표'!$F$13)</f>
        <v>0.15789473684210525</v>
      </c>
      <c r="D11" s="10" t="str">
        <f>'통계표'!$F$13/SUM('통계표'!$B$13,'통계표'!$D$13,'통계표'!$F$13)</f>
        <v>0.21052631578947367</v>
      </c>
    </row>
    <row r="12">
      <c r="A12" s="5" t="s">
        <v>19</v>
      </c>
      <c r="B12" s="10" t="str">
        <f>'통계표'!$B$14/SUM('통계표'!$B$14,'통계표'!$D$14,'통계표'!$F$14)</f>
        <v>0.6</v>
      </c>
      <c r="C12" s="10" t="str">
        <f>'통계표'!$D$14/SUM('통계표'!$B$14,'통계표'!$D$14,'통계표'!$F$14)</f>
        <v>0.06666666666666667</v>
      </c>
      <c r="D12" s="10" t="str">
        <f>'통계표'!$F$14/SUM('통계표'!$B$14,'통계표'!$D$14,'통계표'!$F$14)</f>
        <v>0.3333333333333333</v>
      </c>
    </row>
    <row r="13">
      <c r="A13" s="5" t="s">
        <v>20</v>
      </c>
      <c r="B13" s="10" t="str">
        <f>'통계표'!$B$15/SUM('통계표'!$B$15,'통계표'!$D$15,'통계표'!$F$15)</f>
        <v>0.5625</v>
      </c>
      <c r="C13" s="10" t="str">
        <f>'통계표'!$D$15/SUM('통계표'!$B$15,'통계표'!$D$15,'통계표'!$F$15)</f>
        <v>0.125</v>
      </c>
      <c r="D13" s="10" t="str">
        <f>'통계표'!$F$15/SUM('통계표'!$B$15,'통계표'!$D$15,'통계표'!$F$15)</f>
        <v>0.3125</v>
      </c>
    </row>
    <row r="14">
      <c r="A14" s="5" t="s">
        <v>21</v>
      </c>
      <c r="B14" s="10" t="str">
        <f>'통계표'!$B$16/SUM('통계표'!$B$16,'통계표'!$D$16,'통계표'!$F$16)</f>
        <v>0.6</v>
      </c>
      <c r="C14" s="10" t="str">
        <f>'통계표'!$D$16/SUM('통계표'!$B$16,'통계표'!$D$16,'통계표'!$F$16)</f>
        <v>0.2</v>
      </c>
      <c r="D14" s="10" t="str">
        <f>'통계표'!$F$16/SUM('통계표'!$B$16,'통계표'!$D$16,'통계표'!$F$16)</f>
        <v>0.2</v>
      </c>
    </row>
    <row r="15">
      <c r="A15" s="5" t="s">
        <v>22</v>
      </c>
      <c r="B15" s="10" t="str">
        <f>'통계표'!$B$17/SUM('통계표'!$B$17,'통계표'!$D$17,'통계표'!$F$17)</f>
        <v>0.8181818181818182</v>
      </c>
      <c r="C15" s="10" t="str">
        <f>'통계표'!$D$17/SUM('통계표'!$B$17,'통계표'!$D$17,'통계표'!$F$17)</f>
        <v>0.09090909090909091</v>
      </c>
      <c r="D15" s="10" t="str">
        <f>'통계표'!$F$17/SUM('통계표'!$B$17,'통계표'!$D$17,'통계표'!$F$17)</f>
        <v>0.09090909090909091</v>
      </c>
    </row>
  </sheetData>
</worksheet>
</file>

<file path=xl/worksheets/sheet4.xml><?xml version="1.0" encoding="utf-8"?>
<worksheet xmlns="http://schemas.openxmlformats.org/spreadsheetml/2006/main">
  <dimension ref="A1"/>
  <sheetViews>
    <sheetView workbookViewId="0"/>
  </sheetViews>
  <cols>
    <col customWidth="true" max="1" min="1" width="22"/>
    <col customWidth="true" max="2" min="2" width="96"/>
  </cols>
  <sheetData>
    <row r="1">
      <c r="A1" s="1" t="s">
        <v>33</v>
      </c>
    </row>
    <row r="3">
      <c r="A3" s="8" t="s">
        <v>34</v>
      </c>
      <c r="B3" s="2" t="s">
        <v>35</v>
      </c>
    </row>
    <row r="4">
      <c r="A4" s="8" t="s">
        <v>36</v>
      </c>
      <c r="B4" s="2" t="s">
        <v>37</v>
      </c>
    </row>
    <row r="5">
      <c r="A5" s="8" t="s">
        <v>38</v>
      </c>
      <c r="B5" s="2" t="s">
        <v>39</v>
      </c>
    </row>
    <row r="6">
      <c r="A6" s="8" t="s">
        <v>40</v>
      </c>
      <c r="B6" s="2" t="s">
        <v>41</v>
      </c>
    </row>
    <row r="7">
      <c r="A7" s="8" t="s">
        <v>42</v>
      </c>
      <c r="B7" s="2" t="s">
        <v>43</v>
      </c>
    </row>
    <row r="8">
      <c r="A8" s="8" t="s">
        <v>44</v>
      </c>
      <c r="B8" s="2" t="s">
        <v>45</v>
      </c>
    </row>
    <row r="9">
      <c r="A9" s="8" t="s">
        <v>46</v>
      </c>
      <c r="B9" s="2" t="s">
        <v>3</v>
      </c>
    </row>
    <row r="10">
      <c r="A10" s="8" t="s">
        <v>47</v>
      </c>
      <c r="B10" s="2" t="s">
        <v>48</v>
      </c>
    </row>
    <row r="11">
      <c r="A11" s="8" t="s">
        <v>49</v>
      </c>
      <c r="B11" s="2" t="s">
        <v>50</v>
      </c>
    </row>
    <row r="12">
      <c r="A12" s="8" t="s">
        <v>51</v>
      </c>
      <c r="B12" s="2" t="s">
        <v>52</v>
      </c>
    </row>
    <row r="13">
      <c r="A13" s="8" t="s">
        <v>53</v>
      </c>
      <c r="B13" s="2" t="s">
        <v>54</v>
      </c>
    </row>
    <row r="14">
      <c r="A14" s="8" t="s">
        <v>55</v>
      </c>
      <c r="B14" s="2" t="s">
        <v>56</v>
      </c>
    </row>
    <row r="15">
      <c r="A15" s="8" t="s">
        <v>57</v>
      </c>
      <c r="B15" s="2" t="s">
        <v>58</v>
      </c>
    </row>
    <row r="16">
      <c r="A16" s="8" t="s">
        <v>59</v>
      </c>
      <c r="B16" s="2" t="s">
        <v>60</v>
      </c>
    </row>
    <row r="17">
      <c r="A17" s="8" t="s">
        <v>61</v>
      </c>
      <c r="B17" s="2" t="s">
        <v>62</v>
      </c>
    </row>
    <row r="18">
      <c r="A18" s="8" t="s">
        <v>63</v>
      </c>
      <c r="B18" s="2" t="s">
        <v>64</v>
      </c>
    </row>
    <row r="19">
      <c r="A19" s="8" t="s">
        <v>65</v>
      </c>
      <c r="B19" s="2" t="s">
        <v>66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title>맞춤 통계 · 기관 · 수용 건수, 일부 수용 건수, 불수용 건수</dc:title>
  <dc:creator>커뮤니티 신고 지도</dc:creator>
  <lastModifiedBy/>
  <dcterms:created xsi:type="dcterms:W3CDTF">2026-09-29T09:45:29.655Z</dcterms:created>
  <dcterms:modified xsi:type="dcterms:W3CDTF">2026-09-29T09:45:29.655Z</dcterms:modified>
</coreProperties>
</file>
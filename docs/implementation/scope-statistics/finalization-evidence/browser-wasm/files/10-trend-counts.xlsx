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ico" ContentType="image/x-ico"/>
  <Default Extension="jpeg" ContentType="image/jpeg"/>
  <Default Extension="png" ContentType="image/png"/>
  <Default Extension="svg" ContentType="image/svg"/>
  <Default Extension="emz" ContentType="image/x-emz"/>
  <Default Extension="gif" ContentType="image/gif"/>
  <Default Extension="tiff" ContentType="image/tiff"/>
  <Default Extension="emf" ContentType="image/x-emf"/>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<sst xmlns="http://schemas.openxmlformats.org/spreadsheetml/2006/main" count="73" uniqueCount="73">
  <si>
    <t>월별 추이 · 건수</t>
  </si>
  <si>
    <t>2026-09-29 18:45:37 (Asia/Seoul) 기준 집계 snapshot · 조건은 ‘조회 조건’ 시트</t>
  </si>
  <si>
    <t/>
  </si>
  <si>
    <t>월</t>
  </si>
  <si>
    <t>건수</t>
  </si>
  <si>
    <t>건수 · 신고(건, 신고한 달)</t>
  </si>
  <si>
    <t>건수 · 답변 완료(건, 답변 받은 달)</t>
  </si>
  <si>
    <t>건수 · 내 신고(건, 신고한 달)</t>
  </si>
  <si>
    <t>건수 · 내 답변 완료(건)</t>
  </si>
  <si>
    <t>전체</t>
  </si>
  <si>
    <t>전체 · 결과 확인(건)</t>
  </si>
  <si>
    <t>전체 · 수용(건)</t>
  </si>
  <si>
    <t>전체 · 일부수용(건)</t>
  </si>
  <si>
    <t>전체 · 불수용(건)</t>
  </si>
  <si>
    <t>전체 · 과태료(건)</t>
  </si>
  <si>
    <t>전체 · 수용률 (A/K)</t>
  </si>
  <si>
    <t>전체 · 불수용률 (R/K)</t>
  </si>
  <si>
    <t>전체 · 일부수용률 (P/K)</t>
  </si>
  <si>
    <t>전체 · 과태료처분율 (F/C)</t>
  </si>
  <si>
    <t>내 신고</t>
  </si>
  <si>
    <t>내 신고 · 결과 확인(건)</t>
  </si>
  <si>
    <t>내 신고 · 수용(건)</t>
  </si>
  <si>
    <t>내 신고 · 일부수용(건)</t>
  </si>
  <si>
    <t>내 신고 · 불수용(건)</t>
  </si>
  <si>
    <t>내 신고 · 과태료(건)</t>
  </si>
  <si>
    <t>내 신고 · 수용률 (A/K)</t>
  </si>
  <si>
    <t>내 신고 · 불수용률 (R/K)</t>
  </si>
  <si>
    <t>내 신고 · 일부수용률 (P/K)</t>
  </si>
  <si>
    <t>내 신고 · 과태료처분율 (F/C)</t>
  </si>
  <si>
    <t>비고</t>
  </si>
  <si>
    <t>분모 없음</t>
  </si>
  <si>
    <t>진행 중인 달</t>
  </si>
  <si>
    <t>비율 칸은 같은 행의 분자 ÷ 분모 수식입니다. 월은 그 달 1일의 날짜 값(yyyy-mm 서식)입니다.</t>
  </si>
  <si>
    <t>이번 달(진행 중)은 아직 끝나지 않아 다른 달보다 적을 수 있습니다.</t>
  </si>
  <si>
    <t>차트 데이터</t>
  </si>
  <si>
    <t>차트가 읽는 집계 칸입니다(개별 신고가 아닙니다). 값 칸은 ‘통계표’ 시트의 칸을 가리키는 수식이라 통계표의 분자·분모를 고치면 차트도 바뀝니다. 이 시트의 값 칸에 숫자를 직접 넣어도 차트에 반영되지만 통계표와는 달라집니다. 빈 칸은 값이 없다는 뜻(0 아님)입니다.</t>
  </si>
  <si>
    <t>월별 추이 · 건수 · 차트</t>
  </si>
  <si>
    <t>월별 신고·답변 건수</t>
  </si>
  <si>
    <t>신고</t>
  </si>
  <si>
    <t>답변 완료</t>
  </si>
  <si>
    <t>2025-09</t>
  </si>
  <si>
    <t>2025-10</t>
  </si>
  <si>
    <t>2025-11</t>
  </si>
  <si>
    <t>2025-12</t>
  </si>
  <si>
    <t>2026-01</t>
  </si>
  <si>
    <t>2026-02</t>
  </si>
  <si>
    <t>2026-03</t>
  </si>
  <si>
    <t>2026-04</t>
  </si>
  <si>
    <t>2026-05</t>
  </si>
  <si>
    <t>2026-06</t>
  </si>
  <si>
    <t>2026-07</t>
  </si>
  <si>
    <t>2026-08</t>
  </si>
  <si>
    <t>2026-09</t>
  </si>
  <si>
    <t>신고는 신고한 달, 답변은 답변 받은 달에 셉니다. 자료가 없는 달은 선을 끊습니다.</t>
  </si>
  <si>
    <t>월별 추이 · 건수 · 조회 조건</t>
  </si>
  <si>
    <t>내보낸 시각</t>
  </si>
  <si>
    <t>2026-09-29 18:45:37 (Asia/Seoul)</t>
  </si>
  <si>
    <t>자료 버전</t>
  </si>
  <si>
    <t>e2e-synthetic-1</t>
  </si>
  <si>
    <t>기간</t>
  </si>
  <si>
    <t>2025-09-30 — 2026-09-29 (Asia/Seoul 날짜, 양 끝 포함)</t>
  </si>
  <si>
    <t>대상 범위</t>
  </si>
  <si>
    <t>전국 · 모든 분류</t>
  </si>
  <si>
    <t>보기</t>
  </si>
  <si>
    <t>건수(신고·답변)</t>
  </si>
  <si>
    <t>내 신고 비교</t>
  </si>
  <si>
    <t>포함(내 신고는 이 파일을 내보낸 사람의 신고)</t>
  </si>
  <si>
    <t>계산식</t>
  </si>
  <si>
    <t>수용률 = 수용 ÷ 결과 확인(수용+일부수용+불수용) · 일부수용률 = 일부수용 ÷ 결과 확인 · 불수용률 = 불수용 ÷ 결과 확인 · 과태료처분율 = 과태료 ÷ 답변 완료. 결과 미상은 결과 확인에서 빠집니다.</t>
  </si>
  <si>
    <t>빈 값</t>
  </si>
  <si>
    <t>분모 없음 = 그 달의 분모가 0 · 서버 미지원 = 서버가 그 항목을 보내지 않음 · 자료 없음 = 자료 범위 밖. 모두 0이 아닙니다.</t>
  </si>
  <si>
    <t>이 파일</t>
  </si>
  <si>
    <t>조회 당시 집계 결과의 snapshot입니다. Excel에서 자료를 다시 불러오지 않으며, 지도 사이트의 최신 자료와 다를 수 있습니다. 개별 신고·차량번호·신고번호·계정 정보는 들어 있지 않습니다. 파일을 다른 사람에게 보내면 그 안의 집계와 이름을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</si>
</sst>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월별 신고·답변 건수</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2563EB"/>
              </a:solidFill>
            </spPr>
          </marker>
          <invertIfNegative val="0"/>
          <cat>
            <strRef>
              <f>'차트 데이터'!$A$6:$A$18</f>
            </strRef>
          </cat>
          <val>
            <numRef>
              <f>'차트 데이터'!$B$6:$B$18</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0891B2"/>
              </a:solidFill>
            </spPr>
          </marker>
          <invertIfNegative val="0"/>
          <cat>
            <strRef>
              <f>'차트 데이터'!$A$6:$A$18</f>
            </strRef>
          </cat>
          <val>
            <numRef>
              <f>'차트 데이터'!$C$6:$C$18</f>
              <numCache>
                <formatCode/>
              </numCache>
            </numRef>
          </val>
          <smooth val="0"/>
        </ser>
        <ser>
          <idx val="2"/>
          <order val="2"/>
          <tx>
            <strRef>
              <f>'차트 데이터'!$D$5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2563EB"/>
              </a:solidFill>
            </spPr>
          </marker>
          <invertIfNegative val="0"/>
          <cat>
            <strRef>
              <f>'차트 데이터'!$A$6:$A$18</f>
            </strRef>
          </cat>
          <val>
            <numRef>
              <f>'차트 데이터'!$D$6:$D$18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23" min="2" width="14"/>
    <col customWidth="true" max="24" min="24" width="16"/>
  </cols>
  <sheetData>
    <row r="1">
      <c r="A1" s="1" t="s">
        <v>0</v>
      </c>
    </row>
    <row r="2">
      <c r="A2" s="3" t="s">
        <v>1</v>
      </c>
    </row>
    <row r="4">
      <c r="A4" s="4" t="s">
        <v>2</v>
      </c>
      <c r="B4" s="4" t="s">
        <v>4</v>
      </c>
      <c r="C4" s="4" t="s">
        <v>4</v>
      </c>
      <c r="D4" s="4" t="s">
        <v>4</v>
      </c>
      <c r="E4" s="4" t="s">
        <v>4</v>
      </c>
      <c r="F4" s="4" t="s">
        <v>9</v>
      </c>
      <c r="G4" s="4" t="s">
        <v>9</v>
      </c>
      <c r="H4" s="4" t="s">
        <v>9</v>
      </c>
      <c r="I4" s="4" t="s">
        <v>9</v>
      </c>
      <c r="J4" s="4" t="s">
        <v>9</v>
      </c>
      <c r="K4" s="4" t="s">
        <v>9</v>
      </c>
      <c r="L4" s="4" t="s">
        <v>9</v>
      </c>
      <c r="M4" s="4" t="s">
        <v>9</v>
      </c>
      <c r="N4" s="4" t="s">
        <v>9</v>
      </c>
      <c r="O4" s="4" t="s">
        <v>19</v>
      </c>
      <c r="P4" s="4" t="s">
        <v>19</v>
      </c>
      <c r="Q4" s="4" t="s">
        <v>19</v>
      </c>
      <c r="R4" s="4" t="s">
        <v>19</v>
      </c>
      <c r="S4" s="4" t="s">
        <v>19</v>
      </c>
      <c r="T4" s="4" t="s">
        <v>19</v>
      </c>
      <c r="U4" s="4" t="s">
        <v>19</v>
      </c>
      <c r="V4" s="4" t="s">
        <v>19</v>
      </c>
      <c r="W4" s="4" t="s">
        <v>19</v>
      </c>
      <c r="X4" s="4" t="s">
        <v>2</v>
      </c>
    </row>
    <row r="5">
      <c r="A5" s="4" t="s">
        <v>3</v>
      </c>
      <c r="B5" s="4" t="s">
        <v>5</v>
      </c>
      <c r="C5" s="4" t="s">
        <v>6</v>
      </c>
      <c r="D5" s="4" t="s">
        <v>7</v>
      </c>
      <c r="E5" s="4" t="s">
        <v>8</v>
      </c>
      <c r="F5" s="4" t="s">
        <v>10</v>
      </c>
      <c r="G5" s="4" t="s">
        <v>11</v>
      </c>
      <c r="H5" s="4" t="s">
        <v>12</v>
      </c>
      <c r="I5" s="4" t="s">
        <v>13</v>
      </c>
      <c r="J5" s="4" t="s">
        <v>14</v>
      </c>
      <c r="K5" s="4" t="s">
        <v>15</v>
      </c>
      <c r="L5" s="4" t="s">
        <v>16</v>
      </c>
      <c r="M5" s="4" t="s">
        <v>17</v>
      </c>
      <c r="N5" s="4" t="s">
        <v>18</v>
      </c>
      <c r="O5" s="4" t="s">
        <v>20</v>
      </c>
      <c r="P5" s="4" t="s">
        <v>21</v>
      </c>
      <c r="Q5" s="4" t="s">
        <v>22</v>
      </c>
      <c r="R5" s="4" t="s">
        <v>23</v>
      </c>
      <c r="S5" s="4" t="s">
        <v>24</v>
      </c>
      <c r="T5" s="4" t="s">
        <v>25</v>
      </c>
      <c r="U5" s="4" t="s">
        <v>26</v>
      </c>
      <c r="V5" s="4" t="s">
        <v>27</v>
      </c>
      <c r="W5" s="4" t="s">
        <v>28</v>
      </c>
      <c r="X5" s="4" t="s">
        <v>29</v>
      </c>
    </row>
    <row r="6">
      <c r="A6" s="14">
        <v>45901</v>
      </c>
      <c r="B6" s="9">
        <v>0</v>
      </c>
      <c r="C6" s="9">
        <v>1</v>
      </c>
      <c r="D6" s="9">
        <v>0</v>
      </c>
      <c r="E6" s="9">
        <v>0</v>
      </c>
      <c r="F6" s="9">
        <v>1</v>
      </c>
      <c r="G6" s="9">
        <v>1</v>
      </c>
      <c r="H6" s="9">
        <v>0</v>
      </c>
      <c r="I6" s="9">
        <v>0</v>
      </c>
      <c r="J6" s="9">
        <v>0</v>
      </c>
      <c r="K6" s="10" t="str">
        <f>G6/F6</f>
        <v>1</v>
      </c>
      <c r="L6" s="10" t="str">
        <f>I6/F6</f>
        <v>0</v>
      </c>
      <c r="M6" s="10" t="str">
        <f>H6/F6</f>
        <v>0</v>
      </c>
      <c r="N6" s="10" t="str">
        <f>J6/C6</f>
        <v>0</v>
      </c>
      <c r="O6" s="9">
        <v>0</v>
      </c>
      <c r="P6" s="9">
        <v>0</v>
      </c>
      <c r="Q6" s="9">
        <v>0</v>
      </c>
      <c r="R6" s="9">
        <v>0</v>
      </c>
      <c r="S6" s="9">
        <v>0</v>
      </c>
      <c r="T6" s="7" t="s">
        <v>30</v>
      </c>
      <c r="U6" s="7" t="s">
        <v>30</v>
      </c>
      <c r="V6" s="7" t="s">
        <v>30</v>
      </c>
      <c r="W6" s="7" t="s">
        <v>30</v>
      </c>
    </row>
    <row r="7">
      <c r="A7" s="14">
        <v>45931</v>
      </c>
      <c r="B7" s="9">
        <v>30</v>
      </c>
      <c r="C7" s="9">
        <v>21</v>
      </c>
      <c r="D7" s="9">
        <v>3</v>
      </c>
      <c r="E7" s="9">
        <v>3</v>
      </c>
      <c r="F7" s="9">
        <v>16</v>
      </c>
      <c r="G7" s="9">
        <v>11</v>
      </c>
      <c r="H7" s="9">
        <v>0</v>
      </c>
      <c r="I7" s="9">
        <v>5</v>
      </c>
      <c r="J7" s="9">
        <v>8</v>
      </c>
      <c r="K7" s="10" t="str">
        <f>G7/F7</f>
        <v>0.6875</v>
      </c>
      <c r="L7" s="10" t="str">
        <f>I7/F7</f>
        <v>0.3125</v>
      </c>
      <c r="M7" s="10" t="str">
        <f>H7/F7</f>
        <v>0</v>
      </c>
      <c r="N7" s="10" t="str">
        <f>J7/C7</f>
        <v>0.38095238095238093</v>
      </c>
      <c r="O7" s="9">
        <v>3</v>
      </c>
      <c r="P7" s="9">
        <v>3</v>
      </c>
      <c r="Q7" s="9">
        <v>0</v>
      </c>
      <c r="R7" s="9">
        <v>0</v>
      </c>
      <c r="S7" s="9">
        <v>2</v>
      </c>
      <c r="T7" s="10" t="str">
        <f>P7/O7</f>
        <v>1</v>
      </c>
      <c r="U7" s="10" t="str">
        <f>R7/O7</f>
        <v>0</v>
      </c>
      <c r="V7" s="10" t="str">
        <f>Q7/O7</f>
        <v>0</v>
      </c>
      <c r="W7" s="10" t="str">
        <f>S7/E7</f>
        <v>0.6666666666666666</v>
      </c>
    </row>
    <row r="8">
      <c r="A8" s="14">
        <v>45962</v>
      </c>
      <c r="B8" s="9">
        <v>19</v>
      </c>
      <c r="C8" s="9">
        <v>27</v>
      </c>
      <c r="D8" s="9">
        <v>1</v>
      </c>
      <c r="E8" s="9">
        <v>1</v>
      </c>
      <c r="F8" s="9">
        <v>24</v>
      </c>
      <c r="G8" s="9">
        <v>14</v>
      </c>
      <c r="H8" s="9">
        <v>6</v>
      </c>
      <c r="I8" s="9">
        <v>4</v>
      </c>
      <c r="J8" s="9">
        <v>8</v>
      </c>
      <c r="K8" s="10" t="str">
        <f>G8/F8</f>
        <v>0.5833333333333334</v>
      </c>
      <c r="L8" s="10" t="str">
        <f>I8/F8</f>
        <v>0.16666666666666666</v>
      </c>
      <c r="M8" s="10" t="str">
        <f>H8/F8</f>
        <v>0.25</v>
      </c>
      <c r="N8" s="10" t="str">
        <f>J8/C8</f>
        <v>0.2962962962962963</v>
      </c>
      <c r="O8" s="9">
        <v>1</v>
      </c>
      <c r="P8" s="9">
        <v>0</v>
      </c>
      <c r="Q8" s="9">
        <v>1</v>
      </c>
      <c r="R8" s="9">
        <v>0</v>
      </c>
      <c r="S8" s="9">
        <v>0</v>
      </c>
      <c r="T8" s="10" t="str">
        <f>P8/O8</f>
        <v>0</v>
      </c>
      <c r="U8" s="10" t="str">
        <f>R8/O8</f>
        <v>0</v>
      </c>
      <c r="V8" s="10" t="str">
        <f>Q8/O8</f>
        <v>1</v>
      </c>
      <c r="W8" s="10" t="str">
        <f>S8/E8</f>
        <v>0</v>
      </c>
    </row>
    <row r="9">
      <c r="A9" s="14">
        <v>45992</v>
      </c>
      <c r="B9" s="9">
        <v>24</v>
      </c>
      <c r="C9" s="9">
        <v>20</v>
      </c>
      <c r="D9" s="9">
        <v>1</v>
      </c>
      <c r="E9" s="9">
        <v>1</v>
      </c>
      <c r="F9" s="9">
        <v>19</v>
      </c>
      <c r="G9" s="9">
        <v>12</v>
      </c>
      <c r="H9" s="9">
        <v>3</v>
      </c>
      <c r="I9" s="9">
        <v>4</v>
      </c>
      <c r="J9" s="9">
        <v>7</v>
      </c>
      <c r="K9" s="10" t="str">
        <f>G9/F9</f>
        <v>0.631578947368421</v>
      </c>
      <c r="L9" s="10" t="str">
        <f>I9/F9</f>
        <v>0.21052631578947367</v>
      </c>
      <c r="M9" s="10" t="str">
        <f>H9/F9</f>
        <v>0.15789473684210525</v>
      </c>
      <c r="N9" s="10" t="str">
        <f>J9/C9</f>
        <v>0.35</v>
      </c>
      <c r="O9" s="9">
        <v>1</v>
      </c>
      <c r="P9" s="9">
        <v>1</v>
      </c>
      <c r="Q9" s="9">
        <v>0</v>
      </c>
      <c r="R9" s="9">
        <v>0</v>
      </c>
      <c r="S9" s="9">
        <v>0</v>
      </c>
      <c r="T9" s="10" t="str">
        <f>P9/O9</f>
        <v>1</v>
      </c>
      <c r="U9" s="10" t="str">
        <f>R9/O9</f>
        <v>0</v>
      </c>
      <c r="V9" s="10" t="str">
        <f>Q9/O9</f>
        <v>0</v>
      </c>
      <c r="W9" s="10" t="str">
        <f>S9/E9</f>
        <v>0</v>
      </c>
    </row>
    <row r="10">
      <c r="A10" s="14">
        <v>46023</v>
      </c>
      <c r="B10" s="9">
        <v>18</v>
      </c>
      <c r="C10" s="9">
        <v>22</v>
      </c>
      <c r="D10" s="9">
        <v>2</v>
      </c>
      <c r="E10" s="9">
        <v>2</v>
      </c>
      <c r="F10" s="9">
        <v>19</v>
      </c>
      <c r="G10" s="9">
        <v>13</v>
      </c>
      <c r="H10" s="9">
        <v>1</v>
      </c>
      <c r="I10" s="9">
        <v>5</v>
      </c>
      <c r="J10" s="9">
        <v>6</v>
      </c>
      <c r="K10" s="10" t="str">
        <f>G10/F10</f>
        <v>0.6842105263157895</v>
      </c>
      <c r="L10" s="10" t="str">
        <f>I10/F10</f>
        <v>0.2631578947368421</v>
      </c>
      <c r="M10" s="10" t="str">
        <f>H10/F10</f>
        <v>0.05263157894736842</v>
      </c>
      <c r="N10" s="10" t="str">
        <f>J10/C10</f>
        <v>0.2727272727272727</v>
      </c>
      <c r="O10" s="9">
        <v>2</v>
      </c>
      <c r="P10" s="9">
        <v>1</v>
      </c>
      <c r="Q10" s="9">
        <v>0</v>
      </c>
      <c r="R10" s="9">
        <v>1</v>
      </c>
      <c r="S10" s="9">
        <v>0</v>
      </c>
      <c r="T10" s="10" t="str">
        <f>P10/O10</f>
        <v>0.5</v>
      </c>
      <c r="U10" s="10" t="str">
        <f>R10/O10</f>
        <v>0.5</v>
      </c>
      <c r="V10" s="10" t="str">
        <f>Q10/O10</f>
        <v>0</v>
      </c>
      <c r="W10" s="10" t="str">
        <f>S10/E10</f>
        <v>0</v>
      </c>
    </row>
    <row r="11">
      <c r="A11" s="14">
        <v>46054</v>
      </c>
      <c r="B11" s="9">
        <v>24</v>
      </c>
      <c r="C11" s="9">
        <v>20</v>
      </c>
      <c r="D11" s="9">
        <v>3</v>
      </c>
      <c r="E11" s="9">
        <v>3</v>
      </c>
      <c r="F11" s="9">
        <v>18</v>
      </c>
      <c r="G11" s="9">
        <v>12</v>
      </c>
      <c r="H11" s="9">
        <v>3</v>
      </c>
      <c r="I11" s="9">
        <v>3</v>
      </c>
      <c r="J11" s="9">
        <v>11</v>
      </c>
      <c r="K11" s="10" t="str">
        <f>G11/F11</f>
        <v>0.6666666666666666</v>
      </c>
      <c r="L11" s="10" t="str">
        <f>I11/F11</f>
        <v>0.16666666666666666</v>
      </c>
      <c r="M11" s="10" t="str">
        <f>H11/F11</f>
        <v>0.16666666666666666</v>
      </c>
      <c r="N11" s="10" t="str">
        <f>J11/C11</f>
        <v>0.55</v>
      </c>
      <c r="O11" s="9">
        <v>3</v>
      </c>
      <c r="P11" s="9">
        <v>3</v>
      </c>
      <c r="Q11" s="9">
        <v>0</v>
      </c>
      <c r="R11" s="9">
        <v>0</v>
      </c>
      <c r="S11" s="9">
        <v>2</v>
      </c>
      <c r="T11" s="10" t="str">
        <f>P11/O11</f>
        <v>1</v>
      </c>
      <c r="U11" s="10" t="str">
        <f>R11/O11</f>
        <v>0</v>
      </c>
      <c r="V11" s="10" t="str">
        <f>Q11/O11</f>
        <v>0</v>
      </c>
      <c r="W11" s="10" t="str">
        <f>S11/E11</f>
        <v>0.6666666666666666</v>
      </c>
    </row>
    <row r="12">
      <c r="A12" s="14">
        <v>46082</v>
      </c>
      <c r="B12" s="9">
        <v>33</v>
      </c>
      <c r="C12" s="9">
        <v>25</v>
      </c>
      <c r="D12" s="9">
        <v>4</v>
      </c>
      <c r="E12" s="9">
        <v>2</v>
      </c>
      <c r="F12" s="9">
        <v>19</v>
      </c>
      <c r="G12" s="9">
        <v>12</v>
      </c>
      <c r="H12" s="9">
        <v>3</v>
      </c>
      <c r="I12" s="9">
        <v>4</v>
      </c>
      <c r="J12" s="9">
        <v>5</v>
      </c>
      <c r="K12" s="10" t="str">
        <f>G12/F12</f>
        <v>0.631578947368421</v>
      </c>
      <c r="L12" s="10" t="str">
        <f>I12/F12</f>
        <v>0.21052631578947367</v>
      </c>
      <c r="M12" s="10" t="str">
        <f>H12/F12</f>
        <v>0.15789473684210525</v>
      </c>
      <c r="N12" s="10" t="str">
        <f>J12/C12</f>
        <v>0.2</v>
      </c>
      <c r="O12" s="9">
        <v>1</v>
      </c>
      <c r="P12" s="9">
        <v>1</v>
      </c>
      <c r="Q12" s="9">
        <v>0</v>
      </c>
      <c r="R12" s="9">
        <v>0</v>
      </c>
      <c r="S12" s="9">
        <v>0</v>
      </c>
      <c r="T12" s="10" t="str">
        <f>P12/O12</f>
        <v>1</v>
      </c>
      <c r="U12" s="10" t="str">
        <f>R12/O12</f>
        <v>0</v>
      </c>
      <c r="V12" s="10" t="str">
        <f>Q12/O12</f>
        <v>0</v>
      </c>
      <c r="W12" s="10" t="str">
        <f>S12/E12</f>
        <v>0</v>
      </c>
    </row>
    <row r="13">
      <c r="A13" s="14">
        <v>46113</v>
      </c>
      <c r="B13" s="9">
        <v>21</v>
      </c>
      <c r="C13" s="9">
        <v>32</v>
      </c>
      <c r="D13" s="9">
        <v>3</v>
      </c>
      <c r="E13" s="9">
        <v>4</v>
      </c>
      <c r="F13" s="9">
        <v>29</v>
      </c>
      <c r="G13" s="9">
        <v>21</v>
      </c>
      <c r="H13" s="9">
        <v>1</v>
      </c>
      <c r="I13" s="9">
        <v>7</v>
      </c>
      <c r="J13" s="9">
        <v>10</v>
      </c>
      <c r="K13" s="10" t="str">
        <f>G13/F13</f>
        <v>0.7241379310344828</v>
      </c>
      <c r="L13" s="10" t="str">
        <f>I13/F13</f>
        <v>0.2413793103448276</v>
      </c>
      <c r="M13" s="10" t="str">
        <f>H13/F13</f>
        <v>0.034482758620689655</v>
      </c>
      <c r="N13" s="10" t="str">
        <f>J13/C13</f>
        <v>0.3125</v>
      </c>
      <c r="O13" s="9">
        <v>4</v>
      </c>
      <c r="P13" s="9">
        <v>4</v>
      </c>
      <c r="Q13" s="9">
        <v>0</v>
      </c>
      <c r="R13" s="9">
        <v>0</v>
      </c>
      <c r="S13" s="9">
        <v>1</v>
      </c>
      <c r="T13" s="10" t="str">
        <f>P13/O13</f>
        <v>1</v>
      </c>
      <c r="U13" s="10" t="str">
        <f>R13/O13</f>
        <v>0</v>
      </c>
      <c r="V13" s="10" t="str">
        <f>Q13/O13</f>
        <v>0</v>
      </c>
      <c r="W13" s="10" t="str">
        <f>S13/E13</f>
        <v>0.25</v>
      </c>
    </row>
    <row r="14">
      <c r="A14" s="14">
        <v>46143</v>
      </c>
      <c r="B14" s="9">
        <v>22</v>
      </c>
      <c r="C14" s="9">
        <v>22</v>
      </c>
      <c r="D14" s="9">
        <v>5</v>
      </c>
      <c r="E14" s="9">
        <v>3</v>
      </c>
      <c r="F14" s="9">
        <v>20</v>
      </c>
      <c r="G14" s="9">
        <v>8</v>
      </c>
      <c r="H14" s="9">
        <v>1</v>
      </c>
      <c r="I14" s="9">
        <v>11</v>
      </c>
      <c r="J14" s="9">
        <v>2</v>
      </c>
      <c r="K14" s="10" t="str">
        <f>G14/F14</f>
        <v>0.4</v>
      </c>
      <c r="L14" s="10" t="str">
        <f>I14/F14</f>
        <v>0.55</v>
      </c>
      <c r="M14" s="10" t="str">
        <f>H14/F14</f>
        <v>0.05</v>
      </c>
      <c r="N14" s="10" t="str">
        <f>J14/C14</f>
        <v>0.09090909090909091</v>
      </c>
      <c r="O14" s="9">
        <v>2</v>
      </c>
      <c r="P14" s="9">
        <v>1</v>
      </c>
      <c r="Q14" s="9">
        <v>0</v>
      </c>
      <c r="R14" s="9">
        <v>1</v>
      </c>
      <c r="S14" s="9">
        <v>0</v>
      </c>
      <c r="T14" s="10" t="str">
        <f>P14/O14</f>
        <v>0.5</v>
      </c>
      <c r="U14" s="10" t="str">
        <f>R14/O14</f>
        <v>0.5</v>
      </c>
      <c r="V14" s="10" t="str">
        <f>Q14/O14</f>
        <v>0</v>
      </c>
      <c r="W14" s="10" t="str">
        <f>S14/E14</f>
        <v>0</v>
      </c>
    </row>
    <row r="15">
      <c r="A15" s="14">
        <v>46174</v>
      </c>
      <c r="B15" s="9">
        <v>29</v>
      </c>
      <c r="C15" s="9">
        <v>18</v>
      </c>
      <c r="D15" s="9">
        <v>3</v>
      </c>
      <c r="E15" s="9">
        <v>4</v>
      </c>
      <c r="F15" s="9">
        <v>15</v>
      </c>
      <c r="G15" s="9">
        <v>7</v>
      </c>
      <c r="H15" s="9">
        <v>2</v>
      </c>
      <c r="I15" s="9">
        <v>6</v>
      </c>
      <c r="J15" s="9">
        <v>1</v>
      </c>
      <c r="K15" s="10" t="str">
        <f>G15/F15</f>
        <v>0.4666666666666667</v>
      </c>
      <c r="L15" s="10" t="str">
        <f>I15/F15</f>
        <v>0.4</v>
      </c>
      <c r="M15" s="10" t="str">
        <f>H15/F15</f>
        <v>0.13333333333333333</v>
      </c>
      <c r="N15" s="10" t="str">
        <f>J15/C15</f>
        <v>0.05555555555555555</v>
      </c>
      <c r="O15" s="9">
        <v>4</v>
      </c>
      <c r="P15" s="9">
        <v>3</v>
      </c>
      <c r="Q15" s="9">
        <v>0</v>
      </c>
      <c r="R15" s="9">
        <v>1</v>
      </c>
      <c r="S15" s="9">
        <v>1</v>
      </c>
      <c r="T15" s="10" t="str">
        <f>P15/O15</f>
        <v>0.75</v>
      </c>
      <c r="U15" s="10" t="str">
        <f>R15/O15</f>
        <v>0.25</v>
      </c>
      <c r="V15" s="10" t="str">
        <f>Q15/O15</f>
        <v>0</v>
      </c>
      <c r="W15" s="10" t="str">
        <f>S15/E15</f>
        <v>0.25</v>
      </c>
    </row>
    <row r="16">
      <c r="A16" s="14">
        <v>46204</v>
      </c>
      <c r="B16" s="9">
        <v>25</v>
      </c>
      <c r="C16" s="9">
        <v>34</v>
      </c>
      <c r="D16" s="9">
        <v>2</v>
      </c>
      <c r="E16" s="9">
        <v>4</v>
      </c>
      <c r="F16" s="9">
        <v>32</v>
      </c>
      <c r="G16" s="9">
        <v>19</v>
      </c>
      <c r="H16" s="9">
        <v>7</v>
      </c>
      <c r="I16" s="9">
        <v>6</v>
      </c>
      <c r="J16" s="9">
        <v>9</v>
      </c>
      <c r="K16" s="10" t="str">
        <f>G16/F16</f>
        <v>0.59375</v>
      </c>
      <c r="L16" s="10" t="str">
        <f>I16/F16</f>
        <v>0.1875</v>
      </c>
      <c r="M16" s="10" t="str">
        <f>H16/F16</f>
        <v>0.21875</v>
      </c>
      <c r="N16" s="10" t="str">
        <f>J16/C16</f>
        <v>0.2647058823529412</v>
      </c>
      <c r="O16" s="9">
        <v>4</v>
      </c>
      <c r="P16" s="9">
        <v>4</v>
      </c>
      <c r="Q16" s="9">
        <v>0</v>
      </c>
      <c r="R16" s="9">
        <v>0</v>
      </c>
      <c r="S16" s="9">
        <v>3</v>
      </c>
      <c r="T16" s="10" t="str">
        <f>P16/O16</f>
        <v>1</v>
      </c>
      <c r="U16" s="10" t="str">
        <f>R16/O16</f>
        <v>0</v>
      </c>
      <c r="V16" s="10" t="str">
        <f>Q16/O16</f>
        <v>0</v>
      </c>
      <c r="W16" s="10" t="str">
        <f>S16/E16</f>
        <v>0.75</v>
      </c>
    </row>
    <row r="17">
      <c r="A17" s="14">
        <v>46235</v>
      </c>
      <c r="B17" s="9">
        <v>21</v>
      </c>
      <c r="C17" s="9">
        <v>23</v>
      </c>
      <c r="D17" s="9">
        <v>3</v>
      </c>
      <c r="E17" s="9">
        <v>1</v>
      </c>
      <c r="F17" s="9">
        <v>19</v>
      </c>
      <c r="G17" s="9">
        <v>9</v>
      </c>
      <c r="H17" s="9">
        <v>5</v>
      </c>
      <c r="I17" s="9">
        <v>5</v>
      </c>
      <c r="J17" s="9">
        <v>6</v>
      </c>
      <c r="K17" s="10" t="str">
        <f>G17/F17</f>
        <v>0.47368421052631576</v>
      </c>
      <c r="L17" s="10" t="str">
        <f>I17/F17</f>
        <v>0.2631578947368421</v>
      </c>
      <c r="M17" s="10" t="str">
        <f>H17/F17</f>
        <v>0.2631578947368421</v>
      </c>
      <c r="N17" s="10" t="str">
        <f>J17/C17</f>
        <v>0.2608695652173913</v>
      </c>
      <c r="O17" s="9">
        <v>1</v>
      </c>
      <c r="P17" s="9">
        <v>1</v>
      </c>
      <c r="Q17" s="9">
        <v>0</v>
      </c>
      <c r="R17" s="9">
        <v>0</v>
      </c>
      <c r="S17" s="9">
        <v>0</v>
      </c>
      <c r="T17" s="10" t="str">
        <f>P17/O17</f>
        <v>1</v>
      </c>
      <c r="U17" s="10" t="str">
        <f>R17/O17</f>
        <v>0</v>
      </c>
      <c r="V17" s="10" t="str">
        <f>Q17/O17</f>
        <v>0</v>
      </c>
      <c r="W17" s="10" t="str">
        <f>S17/E17</f>
        <v>0</v>
      </c>
    </row>
    <row r="18">
      <c r="A18" s="14">
        <v>46266</v>
      </c>
      <c r="B18" s="9">
        <v>131</v>
      </c>
      <c r="C18" s="9">
        <v>145</v>
      </c>
      <c r="D18" s="9">
        <v>1</v>
      </c>
      <c r="E18" s="9">
        <v>4</v>
      </c>
      <c r="F18" s="9">
        <v>112</v>
      </c>
      <c r="G18" s="9">
        <v>46</v>
      </c>
      <c r="H18" s="9">
        <v>33</v>
      </c>
      <c r="I18" s="9">
        <v>33</v>
      </c>
      <c r="J18" s="9">
        <v>48</v>
      </c>
      <c r="K18" s="10" t="str">
        <f>G18/F18</f>
        <v>0.4107142857142857</v>
      </c>
      <c r="L18" s="10" t="str">
        <f>I18/F18</f>
        <v>0.29464285714285715</v>
      </c>
      <c r="M18" s="10" t="str">
        <f>H18/F18</f>
        <v>0.29464285714285715</v>
      </c>
      <c r="N18" s="10" t="str">
        <f>J18/C18</f>
        <v>0.3310344827586207</v>
      </c>
      <c r="O18" s="9">
        <v>4</v>
      </c>
      <c r="P18" s="9">
        <v>3</v>
      </c>
      <c r="Q18" s="9">
        <v>1</v>
      </c>
      <c r="R18" s="9">
        <v>0</v>
      </c>
      <c r="S18" s="9">
        <v>1</v>
      </c>
      <c r="T18" s="10" t="str">
        <f>P18/O18</f>
        <v>0.75</v>
      </c>
      <c r="U18" s="10" t="str">
        <f>R18/O18</f>
        <v>0</v>
      </c>
      <c r="V18" s="10" t="str">
        <f>Q18/O18</f>
        <v>0.25</v>
      </c>
      <c r="W18" s="10" t="str">
        <f>S18/E18</f>
        <v>0.25</v>
      </c>
      <c r="X18" s="5" t="s">
        <v>31</v>
      </c>
    </row>
    <row r="20">
      <c r="A20" s="3" t="s">
        <v>32</v>
      </c>
    </row>
    <row r="21">
      <c r="A21" s="3" t="s">
        <v>33</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36</v>
      </c>
    </row>
    <row r="3">
      <c r="A3" s="8" t="s">
        <v>37</v>
      </c>
    </row>
    <row r="4">
      <c r="A4" s="3" t="s">
        <v>53</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34</v>
      </c>
    </row>
    <row r="2">
      <c r="A2" s="3" t="s">
        <v>35</v>
      </c>
    </row>
    <row r="4">
      <c r="A4" s="8" t="s">
        <v>37</v>
      </c>
    </row>
    <row r="5">
      <c r="A5" s="4" t="s">
        <v>3</v>
      </c>
      <c r="B5" s="4" t="s">
        <v>38</v>
      </c>
      <c r="C5" s="4" t="s">
        <v>39</v>
      </c>
      <c r="D5" s="4" t="s">
        <v>19</v>
      </c>
    </row>
    <row r="6">
      <c r="A6" s="5" t="s">
        <v>40</v>
      </c>
      <c r="B6" s="9" t="str">
        <f>'통계표'!$B$6</f>
        <v>0</v>
      </c>
      <c r="C6" s="9" t="str">
        <f>'통계표'!$C$6</f>
        <v>1</v>
      </c>
      <c r="D6" s="9" t="str">
        <f>'통계표'!$D$6</f>
        <v>0</v>
      </c>
    </row>
    <row r="7">
      <c r="A7" s="5" t="s">
        <v>41</v>
      </c>
      <c r="B7" s="9" t="str">
        <f>'통계표'!$B$7</f>
        <v>30</v>
      </c>
      <c r="C7" s="9" t="str">
        <f>'통계표'!$C$7</f>
        <v>21</v>
      </c>
      <c r="D7" s="9" t="str">
        <f>'통계표'!$D$7</f>
        <v>3</v>
      </c>
    </row>
    <row r="8">
      <c r="A8" s="5" t="s">
        <v>42</v>
      </c>
      <c r="B8" s="9" t="str">
        <f>'통계표'!$B$8</f>
        <v>19</v>
      </c>
      <c r="C8" s="9" t="str">
        <f>'통계표'!$C$8</f>
        <v>27</v>
      </c>
      <c r="D8" s="9" t="str">
        <f>'통계표'!$D$8</f>
        <v>1</v>
      </c>
    </row>
    <row r="9">
      <c r="A9" s="5" t="s">
        <v>43</v>
      </c>
      <c r="B9" s="9" t="str">
        <f>'통계표'!$B$9</f>
        <v>24</v>
      </c>
      <c r="C9" s="9" t="str">
        <f>'통계표'!$C$9</f>
        <v>20</v>
      </c>
      <c r="D9" s="9" t="str">
        <f>'통계표'!$D$9</f>
        <v>1</v>
      </c>
    </row>
    <row r="10">
      <c r="A10" s="5" t="s">
        <v>44</v>
      </c>
      <c r="B10" s="9" t="str">
        <f>'통계표'!$B$10</f>
        <v>18</v>
      </c>
      <c r="C10" s="9" t="str">
        <f>'통계표'!$C$10</f>
        <v>22</v>
      </c>
      <c r="D10" s="9" t="str">
        <f>'통계표'!$D$10</f>
        <v>2</v>
      </c>
    </row>
    <row r="11">
      <c r="A11" s="5" t="s">
        <v>45</v>
      </c>
      <c r="B11" s="9" t="str">
        <f>'통계표'!$B$11</f>
        <v>24</v>
      </c>
      <c r="C11" s="9" t="str">
        <f>'통계표'!$C$11</f>
        <v>20</v>
      </c>
      <c r="D11" s="9" t="str">
        <f>'통계표'!$D$11</f>
        <v>3</v>
      </c>
    </row>
    <row r="12">
      <c r="A12" s="5" t="s">
        <v>46</v>
      </c>
      <c r="B12" s="9" t="str">
        <f>'통계표'!$B$12</f>
        <v>33</v>
      </c>
      <c r="C12" s="9" t="str">
        <f>'통계표'!$C$12</f>
        <v>25</v>
      </c>
      <c r="D12" s="9" t="str">
        <f>'통계표'!$D$12</f>
        <v>4</v>
      </c>
    </row>
    <row r="13">
      <c r="A13" s="5" t="s">
        <v>47</v>
      </c>
      <c r="B13" s="9" t="str">
        <f>'통계표'!$B$13</f>
        <v>21</v>
      </c>
      <c r="C13" s="9" t="str">
        <f>'통계표'!$C$13</f>
        <v>32</v>
      </c>
      <c r="D13" s="9" t="str">
        <f>'통계표'!$D$13</f>
        <v>3</v>
      </c>
    </row>
    <row r="14">
      <c r="A14" s="5" t="s">
        <v>48</v>
      </c>
      <c r="B14" s="9" t="str">
        <f>'통계표'!$B$14</f>
        <v>22</v>
      </c>
      <c r="C14" s="9" t="str">
        <f>'통계표'!$C$14</f>
        <v>22</v>
      </c>
      <c r="D14" s="9" t="str">
        <f>'통계표'!$D$14</f>
        <v>5</v>
      </c>
    </row>
    <row r="15">
      <c r="A15" s="5" t="s">
        <v>49</v>
      </c>
      <c r="B15" s="9" t="str">
        <f>'통계표'!$B$15</f>
        <v>29</v>
      </c>
      <c r="C15" s="9" t="str">
        <f>'통계표'!$C$15</f>
        <v>18</v>
      </c>
      <c r="D15" s="9" t="str">
        <f>'통계표'!$D$15</f>
        <v>3</v>
      </c>
    </row>
    <row r="16">
      <c r="A16" s="5" t="s">
        <v>50</v>
      </c>
      <c r="B16" s="9" t="str">
        <f>'통계표'!$B$16</f>
        <v>25</v>
      </c>
      <c r="C16" s="9" t="str">
        <f>'통계표'!$C$16</f>
        <v>34</v>
      </c>
      <c r="D16" s="9" t="str">
        <f>'통계표'!$D$16</f>
        <v>2</v>
      </c>
    </row>
    <row r="17">
      <c r="A17" s="5" t="s">
        <v>51</v>
      </c>
      <c r="B17" s="9" t="str">
        <f>'통계표'!$B$17</f>
        <v>21</v>
      </c>
      <c r="C17" s="9" t="str">
        <f>'통계표'!$C$17</f>
        <v>23</v>
      </c>
      <c r="D17" s="9" t="str">
        <f>'통계표'!$D$17</f>
        <v>3</v>
      </c>
    </row>
    <row r="18">
      <c r="A18" s="5" t="s">
        <v>52</v>
      </c>
      <c r="B18" s="9" t="str">
        <f>'통계표'!$B$18</f>
        <v>131</v>
      </c>
      <c r="C18" s="9" t="str">
        <f>'통계표'!$C$18</f>
        <v>145</v>
      </c>
      <c r="D18" s="9" t="str">
        <f>'통계표'!$D$18</f>
        <v>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54</v>
      </c>
    </row>
    <row r="3">
      <c r="A3" s="8" t="s">
        <v>55</v>
      </c>
      <c r="B3" s="2" t="s">
        <v>56</v>
      </c>
    </row>
    <row r="4">
      <c r="A4" s="8" t="s">
        <v>57</v>
      </c>
      <c r="B4" s="2" t="s">
        <v>58</v>
      </c>
    </row>
    <row r="5">
      <c r="A5" s="8" t="s">
        <v>59</v>
      </c>
      <c r="B5" s="2" t="s">
        <v>60</v>
      </c>
    </row>
    <row r="6">
      <c r="A6" s="8" t="s">
        <v>61</v>
      </c>
      <c r="B6" s="2" t="s">
        <v>62</v>
      </c>
    </row>
    <row r="7">
      <c r="A7" s="8" t="s">
        <v>63</v>
      </c>
      <c r="B7" s="2" t="s">
        <v>64</v>
      </c>
    </row>
    <row r="8">
      <c r="A8" s="8" t="s">
        <v>65</v>
      </c>
      <c r="B8" s="2" t="s">
        <v>66</v>
      </c>
    </row>
    <row r="9">
      <c r="A9" s="8" t="s">
        <v>67</v>
      </c>
      <c r="B9" s="2" t="s">
        <v>68</v>
      </c>
    </row>
    <row r="10">
      <c r="A10" s="8" t="s">
        <v>69</v>
      </c>
      <c r="B10" s="2" t="s">
        <v>70</v>
      </c>
    </row>
    <row r="11">
      <c r="A11" s="8" t="s">
        <v>71</v>
      </c>
      <c r="B11" s="2" t="s">
        <v>72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건수</dc:title>
  <dc:creator>커뮤니티 신고 지도</dc:creator>
  <lastModifiedBy/>
  <dcterms:created xsi:type="dcterms:W3CDTF">2026-09-29T09:45:37.326Z</dcterms:created>
  <dcterms:modified xsi:type="dcterms:W3CDTF">2026-09-29T09:45:37.326Z</dcterms:modified>
</coreProperties>
</file>
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<sst xmlns="http://schemas.openxmlformats.org/spreadsheetml/2006/main" count="230" uniqueCount="230">
  <si>
    <t>맞춤 통계 · 기관 × 위반법규 · 과태료처분율, 답변 건수</t>
  </si>
  <si>
    <t>2026-09-29 18:45:27 (Asia/Seoul) 기준 집계 snapshot · 조건은 ‘조회 조건’ 시트</t>
  </si>
  <si>
    <t/>
  </si>
  <si>
    <t>기관</t>
  </si>
  <si>
    <t>도로교통법 제32조</t>
  </si>
  <si>
    <t>과태료처분율</t>
  </si>
  <si>
    <t>전체</t>
  </si>
  <si>
    <t>도로교통법 제32조 · 과태료처분율 · 전체 · 비율</t>
  </si>
  <si>
    <t>도로교통법 제32조 · 과태료처분율 · 전체 · 분자(건)</t>
  </si>
  <si>
    <t>도로교통법 제32조 · 과태료처분율 · 전체 · 분모(건)</t>
  </si>
  <si>
    <t>내 신고</t>
  </si>
  <si>
    <t>도로교통법 제32조 · 과태료처분율 · 내 신고 · 비율</t>
  </si>
  <si>
    <t>도로교통법 제32조 · 과태료처분율 · 내 신고 · 분자(건)</t>
  </si>
  <si>
    <t>도로교통법 제32조 · 과태료처분율 · 내 신고 · 분모(건)</t>
  </si>
  <si>
    <t>답변 건수</t>
  </si>
  <si>
    <t>도로교통법 제32조 · 답변 건수 · 전체 · 값</t>
  </si>
  <si>
    <t>도로교통법 제32조 · 답변 건수 · 전체 · 분자</t>
  </si>
  <si>
    <t>도로교통법 제32조 · 답변 건수 · 내 신고 · 값</t>
  </si>
  <si>
    <t>도로교통법 제32조 · 답변 건수 · 내 신고 · 분자</t>
  </si>
  <si>
    <t>도로교통법 제5조</t>
  </si>
  <si>
    <t>도로교통법 제5조 · 과태료처분율 · 전체 · 비율</t>
  </si>
  <si>
    <t>도로교통법 제5조 · 과태료처분율 · 전체 · 분자(건)</t>
  </si>
  <si>
    <t>도로교통법 제5조 · 과태료처분율 · 전체 · 분모(건)</t>
  </si>
  <si>
    <t>도로교통법 제5조 · 과태료처분율 · 내 신고 · 비율</t>
  </si>
  <si>
    <t>도로교통법 제5조 · 과태료처분율 · 내 신고 · 분자(건)</t>
  </si>
  <si>
    <t>도로교통법 제5조 · 과태료처분율 · 내 신고 · 분모(건)</t>
  </si>
  <si>
    <t>도로교통법 제5조 · 답변 건수 · 전체 · 값</t>
  </si>
  <si>
    <t>도로교통법 제5조 · 답변 건수 · 전체 · 분자</t>
  </si>
  <si>
    <t>도로교통법 제5조 · 답변 건수 · 내 신고 · 값</t>
  </si>
  <si>
    <t>도로교통법 제5조 · 답변 건수 · 내 신고 · 분자</t>
  </si>
  <si>
    <t>도로교통법 제33조</t>
  </si>
  <si>
    <t>도로교통법 제33조 · 과태료처분율 · 전체 · 비율</t>
  </si>
  <si>
    <t>도로교통법 제33조 · 과태료처분율 · 전체 · 분자(건)</t>
  </si>
  <si>
    <t>도로교통법 제33조 · 과태료처분율 · 전체 · 분모(건)</t>
  </si>
  <si>
    <t>도로교통법 제33조 · 과태료처분율 · 내 신고 · 비율</t>
  </si>
  <si>
    <t>도로교통법 제33조 · 과태료처분율 · 내 신고 · 분자(건)</t>
  </si>
  <si>
    <t>도로교통법 제33조 · 과태료처분율 · 내 신고 · 분모(건)</t>
  </si>
  <si>
    <t>도로교통법 제33조 · 답변 건수 · 전체 · 값</t>
  </si>
  <si>
    <t>도로교통법 제33조 · 답변 건수 · 전체 · 분자</t>
  </si>
  <si>
    <t>도로교통법 제33조 · 답변 건수 · 내 신고 · 값</t>
  </si>
  <si>
    <t>도로교통법 제33조 · 답변 건수 · 내 신고 · 분자</t>
  </si>
  <si>
    <t>도로교통법 제27조</t>
  </si>
  <si>
    <t>도로교통법 제27조 · 과태료처분율 · 전체 · 비율</t>
  </si>
  <si>
    <t>도로교통법 제27조 · 과태료처분율 · 전체 · 분자(건)</t>
  </si>
  <si>
    <t>도로교통법 제27조 · 과태료처분율 · 전체 · 분모(건)</t>
  </si>
  <si>
    <t>도로교통법 제27조 · 과태료처분율 · 내 신고 · 비율</t>
  </si>
  <si>
    <t>도로교통법 제27조 · 과태료처분율 · 내 신고 · 분자(건)</t>
  </si>
  <si>
    <t>도로교통법 제27조 · 과태료처분율 · 내 신고 · 분모(건)</t>
  </si>
  <si>
    <t>도로교통법 제27조 · 답변 건수 · 전체 · 값</t>
  </si>
  <si>
    <t>도로교통법 제27조 · 답변 건수 · 전체 · 분자</t>
  </si>
  <si>
    <t>도로교통법 제27조 · 답변 건수 · 내 신고 · 값</t>
  </si>
  <si>
    <t>도로교통법 제27조 · 답변 건수 · 내 신고 · 분자</t>
  </si>
  <si>
    <t>도로교통법 제34조</t>
  </si>
  <si>
    <t>도로교통법 제34조 · 과태료처분율 · 전체 · 비율</t>
  </si>
  <si>
    <t>도로교통법 제34조 · 과태료처분율 · 전체 · 분자(건)</t>
  </si>
  <si>
    <t>도로교통법 제34조 · 과태료처분율 · 전체 · 분모(건)</t>
  </si>
  <si>
    <t>도로교통법 제34조 · 과태료처분율 · 내 신고 · 비율</t>
  </si>
  <si>
    <t>도로교통법 제34조 · 과태료처분율 · 내 신고 · 분자(건)</t>
  </si>
  <si>
    <t>도로교통법 제34조 · 과태료처분율 · 내 신고 · 분모(건)</t>
  </si>
  <si>
    <t>도로교통법 제34조 · 답변 건수 · 전체 · 값</t>
  </si>
  <si>
    <t>도로교통법 제34조 · 답변 건수 · 전체 · 분자</t>
  </si>
  <si>
    <t>도로교통법 제34조 · 답변 건수 · 내 신고 · 값</t>
  </si>
  <si>
    <t>도로교통법 제34조 · 답변 건수 · 내 신고 · 분자</t>
  </si>
  <si>
    <t>도로교통법 제35조</t>
  </si>
  <si>
    <t>도로교통법 제35조 · 과태료처분율 · 전체 · 비율</t>
  </si>
  <si>
    <t>도로교통법 제35조 · 과태료처분율 · 전체 · 분자(건)</t>
  </si>
  <si>
    <t>도로교통법 제35조 · 과태료처분율 · 전체 · 분모(건)</t>
  </si>
  <si>
    <t>도로교통법 제35조 · 과태료처분율 · 내 신고 · 비율</t>
  </si>
  <si>
    <t>도로교통법 제35조 · 과태료처분율 · 내 신고 · 분자(건)</t>
  </si>
  <si>
    <t>도로교통법 제35조 · 과태료처분율 · 내 신고 · 분모(건)</t>
  </si>
  <si>
    <t>도로교통법 제35조 · 답변 건수 · 전체 · 값</t>
  </si>
  <si>
    <t>도로교통법 제35조 · 답변 건수 · 전체 · 분자</t>
  </si>
  <si>
    <t>도로교통법 제35조 · 답변 건수 · 내 신고 · 값</t>
  </si>
  <si>
    <t>도로교통법 제35조 · 답변 건수 · 내 신고 · 분자</t>
  </si>
  <si>
    <t>도로교통법 제49조</t>
  </si>
  <si>
    <t>도로교통법 제49조 · 과태료처분율 · 전체 · 비율</t>
  </si>
  <si>
    <t>도로교통법 제49조 · 과태료처분율 · 전체 · 분자(건)</t>
  </si>
  <si>
    <t>도로교통법 제49조 · 과태료처분율 · 전체 · 분모(건)</t>
  </si>
  <si>
    <t>도로교통법 제49조 · 과태료처분율 · 내 신고 · 비율</t>
  </si>
  <si>
    <t>도로교통법 제49조 · 과태료처분율 · 내 신고 · 분자(건)</t>
  </si>
  <si>
    <t>도로교통법 제49조 · 과태료처분율 · 내 신고 · 분모(건)</t>
  </si>
  <si>
    <t>도로교통법 제49조 · 답변 건수 · 전체 · 값</t>
  </si>
  <si>
    <t>도로교통법 제49조 · 답변 건수 · 전체 · 분자</t>
  </si>
  <si>
    <t>도로교통법 제49조 · 답변 건수 · 내 신고 · 값</t>
  </si>
  <si>
    <t>도로교통법 제49조 · 답변 건수 · 내 신고 · 분자</t>
  </si>
  <si>
    <t>자동차관리법 제10조</t>
  </si>
  <si>
    <t>자동차관리법 제10조 · 과태료처분율 · 전체 · 비율</t>
  </si>
  <si>
    <t>자동차관리법 제10조 · 과태료처분율 · 전체 · 분자(건)</t>
  </si>
  <si>
    <t>자동차관리법 제10조 · 과태료처분율 · 전체 · 분모(건)</t>
  </si>
  <si>
    <t>자동차관리법 제10조 · 과태료처분율 · 내 신고 · 비율</t>
  </si>
  <si>
    <t>자동차관리법 제10조 · 과태료처분율 · 내 신고 · 분자(건)</t>
  </si>
  <si>
    <t>자동차관리법 제10조 · 과태료처분율 · 내 신고 · 분모(건)</t>
  </si>
  <si>
    <t>자동차관리법 제10조 · 답변 건수 · 전체 · 값</t>
  </si>
  <si>
    <t>자동차관리법 제10조 · 답변 건수 · 전체 · 분자</t>
  </si>
  <si>
    <t>자동차관리법 제10조 · 답변 건수 · 내 신고 · 값</t>
  </si>
  <si>
    <t>자동차관리법 제10조 · 답변 건수 · 내 신고 · 분자</t>
  </si>
  <si>
    <t>도로교통법 제38조</t>
  </si>
  <si>
    <t>도로교통법 제38조 · 과태료처분율 · 전체 · 비율</t>
  </si>
  <si>
    <t>도로교통법 제38조 · 과태료처분율 · 전체 · 분자(건)</t>
  </si>
  <si>
    <t>도로교통법 제38조 · 과태료처분율 · 전체 · 분모(건)</t>
  </si>
  <si>
    <t>도로교통법 제38조 · 과태료처분율 · 내 신고 · 비율</t>
  </si>
  <si>
    <t>도로교통법 제38조 · 과태료처분율 · 내 신고 · 분자(건)</t>
  </si>
  <si>
    <t>도로교통법 제38조 · 과태료처분율 · 내 신고 · 분모(건)</t>
  </si>
  <si>
    <t>도로교통법 제38조 · 답변 건수 · 전체 · 값</t>
  </si>
  <si>
    <t>도로교통법 제38조 · 답변 건수 · 전체 · 분자</t>
  </si>
  <si>
    <t>도로교통법 제38조 · 답변 건수 · 내 신고 · 값</t>
  </si>
  <si>
    <t>도로교통법 제38조 · 답변 건수 · 내 신고 · 분자</t>
  </si>
  <si>
    <t>도로교통법 제13조</t>
  </si>
  <si>
    <t>도로교통법 제13조 · 과태료처분율 · 전체 · 비율</t>
  </si>
  <si>
    <t>도로교통법 제13조 · 과태료처분율 · 전체 · 분자(건)</t>
  </si>
  <si>
    <t>도로교통법 제13조 · 과태료처분율 · 전체 · 분모(건)</t>
  </si>
  <si>
    <t>도로교통법 제13조 · 과태료처분율 · 내 신고 · 비율</t>
  </si>
  <si>
    <t>도로교통법 제13조 · 과태료처분율 · 내 신고 · 분자(건)</t>
  </si>
  <si>
    <t>도로교통법 제13조 · 과태료처분율 · 내 신고 · 분모(건)</t>
  </si>
  <si>
    <t>도로교통법 제13조 · 답변 건수 · 전체 · 값</t>
  </si>
  <si>
    <t>도로교통법 제13조 · 답변 건수 · 전체 · 분자</t>
  </si>
  <si>
    <t>도로교통법 제13조 · 답변 건수 · 내 신고 · 값</t>
  </si>
  <si>
    <t>도로교통법 제13조 · 답변 건수 · 내 신고 · 분자</t>
  </si>
  <si>
    <t>주차장법 제29조</t>
  </si>
  <si>
    <t>주차장법 제29조 · 과태료처분율 · 전체 · 비율</t>
  </si>
  <si>
    <t>주차장법 제29조 · 과태료처분율 · 전체 · 분자(건)</t>
  </si>
  <si>
    <t>주차장법 제29조 · 과태료처분율 · 전체 · 분모(건)</t>
  </si>
  <si>
    <t>주차장법 제29조 · 과태료처분율 · 내 신고 · 비율</t>
  </si>
  <si>
    <t>주차장법 제29조 · 과태료처분율 · 내 신고 · 분자(건)</t>
  </si>
  <si>
    <t>주차장법 제29조 · 과태료처분율 · 내 신고 · 분모(건)</t>
  </si>
  <si>
    <t>주차장법 제29조 · 답변 건수 · 전체 · 값</t>
  </si>
  <si>
    <t>주차장법 제29조 · 답변 건수 · 전체 · 분자</t>
  </si>
  <si>
    <t>주차장법 제29조 · 답변 건수 · 내 신고 · 값</t>
  </si>
  <si>
    <t>주차장법 제29조 · 답변 건수 · 내 신고 · 분자</t>
  </si>
  <si>
    <t>도로교통법 제5조의2</t>
  </si>
  <si>
    <t>도로교통법 제5조의2 · 과태료처분율 · 전체 · 비율</t>
  </si>
  <si>
    <t>도로교통법 제5조의2 · 과태료처분율 · 전체 · 분자(건)</t>
  </si>
  <si>
    <t>도로교통법 제5조의2 · 과태료처분율 · 전체 · 분모(건)</t>
  </si>
  <si>
    <t>도로교통법 제5조의2 · 과태료처분율 · 내 신고 · 비율</t>
  </si>
  <si>
    <t>도로교통법 제5조의2 · 과태료처분율 · 내 신고 · 분자(건)</t>
  </si>
  <si>
    <t>도로교통법 제5조의2 · 과태료처분율 · 내 신고 · 분모(건)</t>
  </si>
  <si>
    <t>도로교통법 제5조의2 · 답변 건수 · 전체 · 값</t>
  </si>
  <si>
    <t>도로교통법 제5조의2 · 답변 건수 · 전체 · 분자</t>
  </si>
  <si>
    <t>도로교통법 제5조의2 · 답변 건수 · 내 신고 · 값</t>
  </si>
  <si>
    <t>도로교통법 제5조의2 · 답변 건수 · 내 신고 · 분자</t>
  </si>
  <si>
    <t>도로교통법 제25조</t>
  </si>
  <si>
    <t>도로교통법 제25조 · 과태료처분율 · 전체 · 비율</t>
  </si>
  <si>
    <t>도로교통법 제25조 · 과태료처분율 · 전체 · 분자(건)</t>
  </si>
  <si>
    <t>도로교통법 제25조 · 과태료처분율 · 전체 · 분모(건)</t>
  </si>
  <si>
    <t>도로교통법 제25조 · 과태료처분율 · 내 신고 · 비율</t>
  </si>
  <si>
    <t>도로교통법 제25조 · 과태료처분율 · 내 신고 · 분자(건)</t>
  </si>
  <si>
    <t>도로교통법 제25조 · 과태료처분율 · 내 신고 · 분모(건)</t>
  </si>
  <si>
    <t>도로교통법 제25조 · 답변 건수 · 전체 · 값</t>
  </si>
  <si>
    <t>도로교통법 제25조 · 답변 건수 · 전체 · 분자</t>
  </si>
  <si>
    <t>도로교통법 제25조 · 답변 건수 · 내 신고 · 값</t>
  </si>
  <si>
    <t>도로교통법 제25조 · 답변 건수 · 내 신고 · 분자</t>
  </si>
  <si>
    <t>법규 미상</t>
  </si>
  <si>
    <t>법규 미상 · 과태료처분율 · 전체 · 비율</t>
  </si>
  <si>
    <t>법규 미상 · 과태료처분율 · 전체 · 분자(건)</t>
  </si>
  <si>
    <t>법규 미상 · 과태료처분율 · 전체 · 분모(건)</t>
  </si>
  <si>
    <t>법규 미상 · 과태료처분율 · 내 신고 · 비율</t>
  </si>
  <si>
    <t>법규 미상 · 과태료처분율 · 내 신고 · 분자(건)</t>
  </si>
  <si>
    <t>법규 미상 · 과태료처분율 · 내 신고 · 분모(건)</t>
  </si>
  <si>
    <t>법규 미상 · 답변 건수 · 전체 · 값</t>
  </si>
  <si>
    <t>법규 미상 · 답변 건수 · 전체 · 분자</t>
  </si>
  <si>
    <t>법규 미상 · 답변 건수 · 내 신고 · 값</t>
  </si>
  <si>
    <t>법규 미상 · 답변 건수 · 내 신고 · 분자</t>
  </si>
  <si>
    <t>행 합계</t>
  </si>
  <si>
    <t>행 합계 · 과태료처분율 · 전체 · 비율</t>
  </si>
  <si>
    <t>행 합계 · 과태료처분율 · 전체 · 분자(건)</t>
  </si>
  <si>
    <t>행 합계 · 과태료처분율 · 전체 · 분모(건)</t>
  </si>
  <si>
    <t>행 합계 · 과태료처분율 · 내 신고 · 비율</t>
  </si>
  <si>
    <t>행 합계 · 과태료처분율 · 내 신고 · 분자(건)</t>
  </si>
  <si>
    <t>행 합계 · 과태료처분율 · 내 신고 · 분모(건)</t>
  </si>
  <si>
    <t>행 합계 · 답변 건수 · 전체 · 값</t>
  </si>
  <si>
    <t>행 합계 · 답변 건수 · 전체 · 분자</t>
  </si>
  <si>
    <t>행 합계 · 답변 건수 · 내 신고 · 값</t>
  </si>
  <si>
    <t>행 합계 · 답변 건수 · 내 신고 · 분자</t>
  </si>
  <si>
    <t>예시 대구수성경찰서</t>
  </si>
  <si>
    <t>—</t>
  </si>
  <si>
    <t>예시 서울중부경찰서</t>
  </si>
  <si>
    <t>예시 강남구청</t>
  </si>
  <si>
    <t>예시 수원시청</t>
  </si>
  <si>
    <t>예시 인천남동경찰서</t>
  </si>
  <si>
    <t>예시 해운대구청</t>
  </si>
  <si>
    <t>예시 부산연제경찰서</t>
  </si>
  <si>
    <t>예시 대전서구청</t>
  </si>
  <si>
    <t>예시 제주시청</t>
  </si>
  <si>
    <t>예시 광주북구청</t>
  </si>
  <si>
    <t>합계</t>
  </si>
  <si>
    <t>합계·행 합계는 칸을 더하거나 평균한 값이 아니라 서버가 원 신고에서 다시 계산한 값입니다(비율 1/1과 9/99의 합계는 10/100 = 10%).</t>
  </si>
  <si>
    <t>비율 칸은 같은 행의 분자 ÷ 분모 수식입니다(분모가 0이면 수식 대신 ‘분모 없음’). 비율 서식은 0~100%이며 칸의 실제 값은 0~1입니다.</t>
  </si>
  <si>
    <t>중앙값·P90·고유 건수 같은 값은 서버가 확정한 값입니다(이 파일의 칸으로 다시 계산할 수 없습니다).</t>
  </si>
  <si>
    <t>‘—’는 그 조합의 답변 신고가 없다는 뜻이며 0이 아닙니다.</t>
  </si>
  <si>
    <t>전체와 내 신고는 겹치는 집합이라 더하지 않습니다. 내 신고는 이 파일을 내보낸 사람의 신고입니다.</t>
  </si>
  <si>
    <t>차트 데이터</t>
  </si>
  <si>
    <t>차트가 읽는 집계 칸입니다(개별 신고가 아닙니다). 값 칸은 ‘통계표’ 시트의 칸을 가리키는 수식이라 통계표의 분자·분모를 고치면 차트도 바뀝니다. 이 시트의 값 칸에 숫자를 직접 넣어도 차트에 반영되지만 통계표와는 달라집니다. 빈 칸은 값이 없다는 뜻(0 아님)입니다.</t>
  </si>
  <si>
    <t>맞춤 통계 · 기관 × 위반법규 · 과태료처분율, 답변 건수 · 차트</t>
  </si>
  <si>
    <t>과태료처분율 · 전체 히트맵</t>
  </si>
  <si>
    <t>색은 조건부 서식(값을 바꾸면 색도 바뀜) · 척도 0~100% · 빈 칸은 그 조합의 신고가 없다는 뜻(0 아님) · 전체와 내 신고 표는 같은 행·열 순서</t>
  </si>
  <si>
    <t>과태료처분율 · 내 신고 히트맵</t>
  </si>
  <si>
    <t>맞춤 통계 · 기관 × 위반법규 · 과태료처분율, 답변 건수 · 조회 조건</t>
  </si>
  <si>
    <t>내보낸 시각</t>
  </si>
  <si>
    <t>2026-09-29 18:45:27 (Asia/Seoul)</t>
  </si>
  <si>
    <t>자료 버전</t>
  </si>
  <si>
    <t>e2e-synthetic-1</t>
  </si>
  <si>
    <t>기간</t>
  </si>
  <si>
    <t>2025-09-30 — 2026-09-29 (Asia/Seoul 날짜, 양 끝 포함)</t>
  </si>
  <si>
    <t>날짜 기준</t>
  </si>
  <si>
    <t>답변 받은 날</t>
  </si>
  <si>
    <t>대상 범위</t>
  </si>
  <si>
    <t>전국 · 모든 분류</t>
  </si>
  <si>
    <t>누구의 신고</t>
  </si>
  <si>
    <t>전체와 내 신고(내보낸 사람) 비교</t>
  </si>
  <si>
    <t>행</t>
  </si>
  <si>
    <t>열</t>
  </si>
  <si>
    <t>위반법규</t>
  </si>
  <si>
    <t>지표</t>
  </si>
  <si>
    <t>과태료처분율, 답변 건수</t>
  </si>
  <si>
    <t>비교 대상</t>
  </si>
  <si>
    <t>고르지 않음(전체)</t>
  </si>
  <si>
    <t>답변 신고</t>
  </si>
  <si>
    <t>전체 410건 내 신고 32건</t>
  </si>
  <si>
    <t>표 정렬</t>
  </si>
  <si>
    <t>서버 순서</t>
  </si>
  <si>
    <t>그래프</t>
  </si>
  <si>
    <t>히트맵 요청 → 히트맵</t>
  </si>
  <si>
    <t>지표 정의</t>
  </si>
  <si>
    <t>과태료처분율: F ÷ C(답변 완료) · 답변 건수: 답변 완료된 신고 수(C)</t>
  </si>
  <si>
    <t>빈 값</t>
  </si>
  <si>
    <t>‘—’ 해당 조합 신고 없음 · ‘분모 없음’ 분모가 0 · ‘자료 없음’ 계산할 자료가 없음. 모두 0이 아닙니다.</t>
  </si>
  <si>
    <t>그래프 범례</t>
  </si>
  <si>
    <t>모든 계열 표시</t>
  </si>
  <si>
    <t>이 파일</t>
  </si>
  <si>
    <t>조회 당시 집계 결과의 snapshot입니다. Excel에서 자료를 다시 불러오지 않으며, 지도 사이트의 최신 자료와 다를 수 있습니다. 개별 신고·차량번호·신고번호·계정 정보는 들어 있지 않습니다. 파일을 다른 사람에게 보내면 그 안의 집계와 이름을 볼 수 있습니다.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</si>
</sst>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8" xSplit="1" ySplit="7"/>
    </sheetView>
  </sheetViews>
  <sheetFormatPr defaultRowHeight="15"/>
  <cols>
    <col customWidth="true" max="1" min="1" width="24"/>
    <col customWidth="true" max="151" min="2" width="14"/>
  </cols>
  <sheetData>
    <row r="1">
      <c r="A1" s="1" t="s">
        <v>0</v>
      </c>
    </row>
    <row r="2">
      <c r="A2" s="3" t="s">
        <v>1</v>
      </c>
    </row>
    <row r="4">
      <c r="A4" s="4" t="s">
        <v>2</v>
      </c>
      <c r="B4" s="4" t="s">
        <v>4</v>
      </c>
      <c r="C4" s="4" t="s">
        <v>4</v>
      </c>
      <c r="D4" s="4" t="s">
        <v>4</v>
      </c>
      <c r="E4" s="4" t="s">
        <v>4</v>
      </c>
      <c r="F4" s="4" t="s">
        <v>4</v>
      </c>
      <c r="G4" s="4" t="s">
        <v>4</v>
      </c>
      <c r="H4" s="4" t="s">
        <v>4</v>
      </c>
      <c r="I4" s="4" t="s">
        <v>4</v>
      </c>
      <c r="J4" s="4" t="s">
        <v>4</v>
      </c>
      <c r="K4" s="4" t="s">
        <v>4</v>
      </c>
      <c r="L4" s="4" t="s">
        <v>19</v>
      </c>
      <c r="M4" s="4" t="s">
        <v>19</v>
      </c>
      <c r="N4" s="4" t="s">
        <v>19</v>
      </c>
      <c r="O4" s="4" t="s">
        <v>19</v>
      </c>
      <c r="P4" s="4" t="s">
        <v>19</v>
      </c>
      <c r="Q4" s="4" t="s">
        <v>19</v>
      </c>
      <c r="R4" s="4" t="s">
        <v>19</v>
      </c>
      <c r="S4" s="4" t="s">
        <v>19</v>
      </c>
      <c r="T4" s="4" t="s">
        <v>19</v>
      </c>
      <c r="U4" s="4" t="s">
        <v>19</v>
      </c>
      <c r="V4" s="4" t="s">
        <v>30</v>
      </c>
      <c r="W4" s="4" t="s">
        <v>30</v>
      </c>
      <c r="X4" s="4" t="s">
        <v>30</v>
      </c>
      <c r="Y4" s="4" t="s">
        <v>30</v>
      </c>
      <c r="Z4" s="4" t="s">
        <v>30</v>
      </c>
      <c r="AA4" s="4" t="s">
        <v>30</v>
      </c>
      <c r="AB4" s="4" t="s">
        <v>30</v>
      </c>
      <c r="AC4" s="4" t="s">
        <v>30</v>
      </c>
      <c r="AD4" s="4" t="s">
        <v>30</v>
      </c>
      <c r="AE4" s="4" t="s">
        <v>30</v>
      </c>
      <c r="AF4" s="4" t="s">
        <v>41</v>
      </c>
      <c r="AG4" s="4" t="s">
        <v>41</v>
      </c>
      <c r="AH4" s="4" t="s">
        <v>41</v>
      </c>
      <c r="AI4" s="4" t="s">
        <v>41</v>
      </c>
      <c r="AJ4" s="4" t="s">
        <v>41</v>
      </c>
      <c r="AK4" s="4" t="s">
        <v>41</v>
      </c>
      <c r="AL4" s="4" t="s">
        <v>41</v>
      </c>
      <c r="AM4" s="4" t="s">
        <v>41</v>
      </c>
      <c r="AN4" s="4" t="s">
        <v>41</v>
      </c>
      <c r="AO4" s="4" t="s">
        <v>41</v>
      </c>
      <c r="AP4" s="4" t="s">
        <v>52</v>
      </c>
      <c r="AQ4" s="4" t="s">
        <v>52</v>
      </c>
      <c r="AR4" s="4" t="s">
        <v>52</v>
      </c>
      <c r="AS4" s="4" t="s">
        <v>52</v>
      </c>
      <c r="AT4" s="4" t="s">
        <v>52</v>
      </c>
      <c r="AU4" s="4" t="s">
        <v>52</v>
      </c>
      <c r="AV4" s="4" t="s">
        <v>52</v>
      </c>
      <c r="AW4" s="4" t="s">
        <v>52</v>
      </c>
      <c r="AX4" s="4" t="s">
        <v>52</v>
      </c>
      <c r="AY4" s="4" t="s">
        <v>52</v>
      </c>
      <c r="AZ4" s="4" t="s">
        <v>63</v>
      </c>
      <c r="BA4" s="4" t="s">
        <v>63</v>
      </c>
      <c r="BB4" s="4" t="s">
        <v>63</v>
      </c>
      <c r="BC4" s="4" t="s">
        <v>63</v>
      </c>
      <c r="BD4" s="4" t="s">
        <v>63</v>
      </c>
      <c r="BE4" s="4" t="s">
        <v>63</v>
      </c>
      <c r="BF4" s="4" t="s">
        <v>63</v>
      </c>
      <c r="BG4" s="4" t="s">
        <v>63</v>
      </c>
      <c r="BH4" s="4" t="s">
        <v>63</v>
      </c>
      <c r="BI4" s="4" t="s">
        <v>63</v>
      </c>
      <c r="BJ4" s="4" t="s">
        <v>74</v>
      </c>
      <c r="BK4" s="4" t="s">
        <v>74</v>
      </c>
      <c r="BL4" s="4" t="s">
        <v>74</v>
      </c>
      <c r="BM4" s="4" t="s">
        <v>74</v>
      </c>
      <c r="BN4" s="4" t="s">
        <v>74</v>
      </c>
      <c r="BO4" s="4" t="s">
        <v>74</v>
      </c>
      <c r="BP4" s="4" t="s">
        <v>74</v>
      </c>
      <c r="BQ4" s="4" t="s">
        <v>74</v>
      </c>
      <c r="BR4" s="4" t="s">
        <v>74</v>
      </c>
      <c r="BS4" s="4" t="s">
        <v>74</v>
      </c>
      <c r="BT4" s="4" t="s">
        <v>85</v>
      </c>
      <c r="BU4" s="4" t="s">
        <v>85</v>
      </c>
      <c r="BV4" s="4" t="s">
        <v>85</v>
      </c>
      <c r="BW4" s="4" t="s">
        <v>85</v>
      </c>
      <c r="BX4" s="4" t="s">
        <v>85</v>
      </c>
      <c r="BY4" s="4" t="s">
        <v>85</v>
      </c>
      <c r="BZ4" s="4" t="s">
        <v>85</v>
      </c>
      <c r="CA4" s="4" t="s">
        <v>85</v>
      </c>
      <c r="CB4" s="4" t="s">
        <v>85</v>
      </c>
      <c r="CC4" s="4" t="s">
        <v>85</v>
      </c>
      <c r="CD4" s="4" t="s">
        <v>96</v>
      </c>
      <c r="CE4" s="4" t="s">
        <v>96</v>
      </c>
      <c r="CF4" s="4" t="s">
        <v>96</v>
      </c>
      <c r="CG4" s="4" t="s">
        <v>96</v>
      </c>
      <c r="CH4" s="4" t="s">
        <v>96</v>
      </c>
      <c r="CI4" s="4" t="s">
        <v>96</v>
      </c>
      <c r="CJ4" s="4" t="s">
        <v>96</v>
      </c>
      <c r="CK4" s="4" t="s">
        <v>96</v>
      </c>
      <c r="CL4" s="4" t="s">
        <v>96</v>
      </c>
      <c r="CM4" s="4" t="s">
        <v>96</v>
      </c>
      <c r="CN4" s="4" t="s">
        <v>107</v>
      </c>
      <c r="CO4" s="4" t="s">
        <v>107</v>
      </c>
      <c r="CP4" s="4" t="s">
        <v>107</v>
      </c>
      <c r="CQ4" s="4" t="s">
        <v>107</v>
      </c>
      <c r="CR4" s="4" t="s">
        <v>107</v>
      </c>
      <c r="CS4" s="4" t="s">
        <v>107</v>
      </c>
      <c r="CT4" s="4" t="s">
        <v>107</v>
      </c>
      <c r="CU4" s="4" t="s">
        <v>107</v>
      </c>
      <c r="CV4" s="4" t="s">
        <v>107</v>
      </c>
      <c r="CW4" s="4" t="s">
        <v>107</v>
      </c>
      <c r="CX4" s="4" t="s">
        <v>118</v>
      </c>
      <c r="CY4" s="4" t="s">
        <v>118</v>
      </c>
      <c r="CZ4" s="4" t="s">
        <v>118</v>
      </c>
      <c r="DA4" s="4" t="s">
        <v>118</v>
      </c>
      <c r="DB4" s="4" t="s">
        <v>118</v>
      </c>
      <c r="DC4" s="4" t="s">
        <v>118</v>
      </c>
      <c r="DD4" s="4" t="s">
        <v>118</v>
      </c>
      <c r="DE4" s="4" t="s">
        <v>118</v>
      </c>
      <c r="DF4" s="4" t="s">
        <v>118</v>
      </c>
      <c r="DG4" s="4" t="s">
        <v>118</v>
      </c>
      <c r="DH4" s="4" t="s">
        <v>129</v>
      </c>
      <c r="DI4" s="4" t="s">
        <v>129</v>
      </c>
      <c r="DJ4" s="4" t="s">
        <v>129</v>
      </c>
      <c r="DK4" s="4" t="s">
        <v>129</v>
      </c>
      <c r="DL4" s="4" t="s">
        <v>129</v>
      </c>
      <c r="DM4" s="4" t="s">
        <v>129</v>
      </c>
      <c r="DN4" s="4" t="s">
        <v>129</v>
      </c>
      <c r="DO4" s="4" t="s">
        <v>129</v>
      </c>
      <c r="DP4" s="4" t="s">
        <v>129</v>
      </c>
      <c r="DQ4" s="4" t="s">
        <v>129</v>
      </c>
      <c r="DR4" s="4" t="s">
        <v>140</v>
      </c>
      <c r="DS4" s="4" t="s">
        <v>140</v>
      </c>
      <c r="DT4" s="4" t="s">
        <v>140</v>
      </c>
      <c r="DU4" s="4" t="s">
        <v>140</v>
      </c>
      <c r="DV4" s="4" t="s">
        <v>140</v>
      </c>
      <c r="DW4" s="4" t="s">
        <v>140</v>
      </c>
      <c r="DX4" s="4" t="s">
        <v>140</v>
      </c>
      <c r="DY4" s="4" t="s">
        <v>140</v>
      </c>
      <c r="DZ4" s="4" t="s">
        <v>140</v>
      </c>
      <c r="EA4" s="4" t="s">
        <v>140</v>
      </c>
      <c r="EB4" s="4" t="s">
        <v>151</v>
      </c>
      <c r="EC4" s="4" t="s">
        <v>151</v>
      </c>
      <c r="ED4" s="4" t="s">
        <v>151</v>
      </c>
      <c r="EE4" s="4" t="s">
        <v>151</v>
      </c>
      <c r="EF4" s="4" t="s">
        <v>151</v>
      </c>
      <c r="EG4" s="4" t="s">
        <v>151</v>
      </c>
      <c r="EH4" s="4" t="s">
        <v>151</v>
      </c>
      <c r="EI4" s="4" t="s">
        <v>151</v>
      </c>
      <c r="EJ4" s="4" t="s">
        <v>151</v>
      </c>
      <c r="EK4" s="4" t="s">
        <v>151</v>
      </c>
      <c r="EL4" s="4" t="s">
        <v>162</v>
      </c>
      <c r="EM4" s="4" t="s">
        <v>162</v>
      </c>
      <c r="EN4" s="4" t="s">
        <v>162</v>
      </c>
      <c r="EO4" s="4" t="s">
        <v>162</v>
      </c>
      <c r="EP4" s="4" t="s">
        <v>162</v>
      </c>
      <c r="EQ4" s="4" t="s">
        <v>162</v>
      </c>
      <c r="ER4" s="4" t="s">
        <v>162</v>
      </c>
      <c r="ES4" s="4" t="s">
        <v>162</v>
      </c>
      <c r="ET4" s="4" t="s">
        <v>162</v>
      </c>
      <c r="EU4" s="4" t="s">
        <v>162</v>
      </c>
    </row>
    <row r="5">
      <c r="A5" s="4" t="s">
        <v>2</v>
      </c>
      <c r="B5" s="4" t="s">
        <v>5</v>
      </c>
      <c r="C5" s="4" t="s">
        <v>5</v>
      </c>
      <c r="D5" s="4" t="s">
        <v>5</v>
      </c>
      <c r="E5" s="4" t="s">
        <v>5</v>
      </c>
      <c r="F5" s="4" t="s">
        <v>5</v>
      </c>
      <c r="G5" s="4" t="s">
        <v>5</v>
      </c>
      <c r="H5" s="4" t="s">
        <v>14</v>
      </c>
      <c r="I5" s="4" t="s">
        <v>14</v>
      </c>
      <c r="J5" s="4" t="s">
        <v>14</v>
      </c>
      <c r="K5" s="4" t="s">
        <v>14</v>
      </c>
      <c r="L5" s="4" t="s">
        <v>5</v>
      </c>
      <c r="M5" s="4" t="s">
        <v>5</v>
      </c>
      <c r="N5" s="4" t="s">
        <v>5</v>
      </c>
      <c r="O5" s="4" t="s">
        <v>5</v>
      </c>
      <c r="P5" s="4" t="s">
        <v>5</v>
      </c>
      <c r="Q5" s="4" t="s">
        <v>5</v>
      </c>
      <c r="R5" s="4" t="s">
        <v>14</v>
      </c>
      <c r="S5" s="4" t="s">
        <v>14</v>
      </c>
      <c r="T5" s="4" t="s">
        <v>14</v>
      </c>
      <c r="U5" s="4" t="s">
        <v>14</v>
      </c>
      <c r="V5" s="4" t="s">
        <v>5</v>
      </c>
      <c r="W5" s="4" t="s">
        <v>5</v>
      </c>
      <c r="X5" s="4" t="s">
        <v>5</v>
      </c>
      <c r="Y5" s="4" t="s">
        <v>5</v>
      </c>
      <c r="Z5" s="4" t="s">
        <v>5</v>
      </c>
      <c r="AA5" s="4" t="s">
        <v>5</v>
      </c>
      <c r="AB5" s="4" t="s">
        <v>14</v>
      </c>
      <c r="AC5" s="4" t="s">
        <v>14</v>
      </c>
      <c r="AD5" s="4" t="s">
        <v>14</v>
      </c>
      <c r="AE5" s="4" t="s">
        <v>14</v>
      </c>
      <c r="AF5" s="4" t="s">
        <v>5</v>
      </c>
      <c r="AG5" s="4" t="s">
        <v>5</v>
      </c>
      <c r="AH5" s="4" t="s">
        <v>5</v>
      </c>
      <c r="AI5" s="4" t="s">
        <v>5</v>
      </c>
      <c r="AJ5" s="4" t="s">
        <v>5</v>
      </c>
      <c r="AK5" s="4" t="s">
        <v>5</v>
      </c>
      <c r="AL5" s="4" t="s">
        <v>14</v>
      </c>
      <c r="AM5" s="4" t="s">
        <v>14</v>
      </c>
      <c r="AN5" s="4" t="s">
        <v>14</v>
      </c>
      <c r="AO5" s="4" t="s">
        <v>14</v>
      </c>
      <c r="AP5" s="4" t="s">
        <v>5</v>
      </c>
      <c r="AQ5" s="4" t="s">
        <v>5</v>
      </c>
      <c r="AR5" s="4" t="s">
        <v>5</v>
      </c>
      <c r="AS5" s="4" t="s">
        <v>5</v>
      </c>
      <c r="AT5" s="4" t="s">
        <v>5</v>
      </c>
      <c r="AU5" s="4" t="s">
        <v>5</v>
      </c>
      <c r="AV5" s="4" t="s">
        <v>14</v>
      </c>
      <c r="AW5" s="4" t="s">
        <v>14</v>
      </c>
      <c r="AX5" s="4" t="s">
        <v>14</v>
      </c>
      <c r="AY5" s="4" t="s">
        <v>14</v>
      </c>
      <c r="AZ5" s="4" t="s">
        <v>5</v>
      </c>
      <c r="BA5" s="4" t="s">
        <v>5</v>
      </c>
      <c r="BB5" s="4" t="s">
        <v>5</v>
      </c>
      <c r="BC5" s="4" t="s">
        <v>5</v>
      </c>
      <c r="BD5" s="4" t="s">
        <v>5</v>
      </c>
      <c r="BE5" s="4" t="s">
        <v>5</v>
      </c>
      <c r="BF5" s="4" t="s">
        <v>14</v>
      </c>
      <c r="BG5" s="4" t="s">
        <v>14</v>
      </c>
      <c r="BH5" s="4" t="s">
        <v>14</v>
      </c>
      <c r="BI5" s="4" t="s">
        <v>14</v>
      </c>
      <c r="BJ5" s="4" t="s">
        <v>5</v>
      </c>
      <c r="BK5" s="4" t="s">
        <v>5</v>
      </c>
      <c r="BL5" s="4" t="s">
        <v>5</v>
      </c>
      <c r="BM5" s="4" t="s">
        <v>5</v>
      </c>
      <c r="BN5" s="4" t="s">
        <v>5</v>
      </c>
      <c r="BO5" s="4" t="s">
        <v>5</v>
      </c>
      <c r="BP5" s="4" t="s">
        <v>14</v>
      </c>
      <c r="BQ5" s="4" t="s">
        <v>14</v>
      </c>
      <c r="BR5" s="4" t="s">
        <v>14</v>
      </c>
      <c r="BS5" s="4" t="s">
        <v>14</v>
      </c>
      <c r="BT5" s="4" t="s">
        <v>5</v>
      </c>
      <c r="BU5" s="4" t="s">
        <v>5</v>
      </c>
      <c r="BV5" s="4" t="s">
        <v>5</v>
      </c>
      <c r="BW5" s="4" t="s">
        <v>5</v>
      </c>
      <c r="BX5" s="4" t="s">
        <v>5</v>
      </c>
      <c r="BY5" s="4" t="s">
        <v>5</v>
      </c>
      <c r="BZ5" s="4" t="s">
        <v>14</v>
      </c>
      <c r="CA5" s="4" t="s">
        <v>14</v>
      </c>
      <c r="CB5" s="4" t="s">
        <v>14</v>
      </c>
      <c r="CC5" s="4" t="s">
        <v>14</v>
      </c>
      <c r="CD5" s="4" t="s">
        <v>5</v>
      </c>
      <c r="CE5" s="4" t="s">
        <v>5</v>
      </c>
      <c r="CF5" s="4" t="s">
        <v>5</v>
      </c>
      <c r="CG5" s="4" t="s">
        <v>5</v>
      </c>
      <c r="CH5" s="4" t="s">
        <v>5</v>
      </c>
      <c r="CI5" s="4" t="s">
        <v>5</v>
      </c>
      <c r="CJ5" s="4" t="s">
        <v>14</v>
      </c>
      <c r="CK5" s="4" t="s">
        <v>14</v>
      </c>
      <c r="CL5" s="4" t="s">
        <v>14</v>
      </c>
      <c r="CM5" s="4" t="s">
        <v>14</v>
      </c>
      <c r="CN5" s="4" t="s">
        <v>5</v>
      </c>
      <c r="CO5" s="4" t="s">
        <v>5</v>
      </c>
      <c r="CP5" s="4" t="s">
        <v>5</v>
      </c>
      <c r="CQ5" s="4" t="s">
        <v>5</v>
      </c>
      <c r="CR5" s="4" t="s">
        <v>5</v>
      </c>
      <c r="CS5" s="4" t="s">
        <v>5</v>
      </c>
      <c r="CT5" s="4" t="s">
        <v>14</v>
      </c>
      <c r="CU5" s="4" t="s">
        <v>14</v>
      </c>
      <c r="CV5" s="4" t="s">
        <v>14</v>
      </c>
      <c r="CW5" s="4" t="s">
        <v>14</v>
      </c>
      <c r="CX5" s="4" t="s">
        <v>5</v>
      </c>
      <c r="CY5" s="4" t="s">
        <v>5</v>
      </c>
      <c r="CZ5" s="4" t="s">
        <v>5</v>
      </c>
      <c r="DA5" s="4" t="s">
        <v>5</v>
      </c>
      <c r="DB5" s="4" t="s">
        <v>5</v>
      </c>
      <c r="DC5" s="4" t="s">
        <v>5</v>
      </c>
      <c r="DD5" s="4" t="s">
        <v>14</v>
      </c>
      <c r="DE5" s="4" t="s">
        <v>14</v>
      </c>
      <c r="DF5" s="4" t="s">
        <v>14</v>
      </c>
      <c r="DG5" s="4" t="s">
        <v>14</v>
      </c>
      <c r="DH5" s="4" t="s">
        <v>5</v>
      </c>
      <c r="DI5" s="4" t="s">
        <v>5</v>
      </c>
      <c r="DJ5" s="4" t="s">
        <v>5</v>
      </c>
      <c r="DK5" s="4" t="s">
        <v>5</v>
      </c>
      <c r="DL5" s="4" t="s">
        <v>5</v>
      </c>
      <c r="DM5" s="4" t="s">
        <v>5</v>
      </c>
      <c r="DN5" s="4" t="s">
        <v>14</v>
      </c>
      <c r="DO5" s="4" t="s">
        <v>14</v>
      </c>
      <c r="DP5" s="4" t="s">
        <v>14</v>
      </c>
      <c r="DQ5" s="4" t="s">
        <v>14</v>
      </c>
      <c r="DR5" s="4" t="s">
        <v>5</v>
      </c>
      <c r="DS5" s="4" t="s">
        <v>5</v>
      </c>
      <c r="DT5" s="4" t="s">
        <v>5</v>
      </c>
      <c r="DU5" s="4" t="s">
        <v>5</v>
      </c>
      <c r="DV5" s="4" t="s">
        <v>5</v>
      </c>
      <c r="DW5" s="4" t="s">
        <v>5</v>
      </c>
      <c r="DX5" s="4" t="s">
        <v>14</v>
      </c>
      <c r="DY5" s="4" t="s">
        <v>14</v>
      </c>
      <c r="DZ5" s="4" t="s">
        <v>14</v>
      </c>
      <c r="EA5" s="4" t="s">
        <v>14</v>
      </c>
      <c r="EB5" s="4" t="s">
        <v>5</v>
      </c>
      <c r="EC5" s="4" t="s">
        <v>5</v>
      </c>
      <c r="ED5" s="4" t="s">
        <v>5</v>
      </c>
      <c r="EE5" s="4" t="s">
        <v>5</v>
      </c>
      <c r="EF5" s="4" t="s">
        <v>5</v>
      </c>
      <c r="EG5" s="4" t="s">
        <v>5</v>
      </c>
      <c r="EH5" s="4" t="s">
        <v>14</v>
      </c>
      <c r="EI5" s="4" t="s">
        <v>14</v>
      </c>
      <c r="EJ5" s="4" t="s">
        <v>14</v>
      </c>
      <c r="EK5" s="4" t="s">
        <v>14</v>
      </c>
      <c r="EL5" s="4" t="s">
        <v>5</v>
      </c>
      <c r="EM5" s="4" t="s">
        <v>5</v>
      </c>
      <c r="EN5" s="4" t="s">
        <v>5</v>
      </c>
      <c r="EO5" s="4" t="s">
        <v>5</v>
      </c>
      <c r="EP5" s="4" t="s">
        <v>5</v>
      </c>
      <c r="EQ5" s="4" t="s">
        <v>5</v>
      </c>
      <c r="ER5" s="4" t="s">
        <v>14</v>
      </c>
      <c r="ES5" s="4" t="s">
        <v>14</v>
      </c>
      <c r="ET5" s="4" t="s">
        <v>14</v>
      </c>
      <c r="EU5" s="4" t="s">
        <v>14</v>
      </c>
    </row>
    <row r="6">
      <c r="A6" s="4" t="s">
        <v>2</v>
      </c>
      <c r="B6" s="4" t="s">
        <v>6</v>
      </c>
      <c r="C6" s="4" t="s">
        <v>6</v>
      </c>
      <c r="D6" s="4" t="s">
        <v>6</v>
      </c>
      <c r="E6" s="4" t="s">
        <v>10</v>
      </c>
      <c r="F6" s="4" t="s">
        <v>10</v>
      </c>
      <c r="G6" s="4" t="s">
        <v>10</v>
      </c>
      <c r="H6" s="4" t="s">
        <v>6</v>
      </c>
      <c r="I6" s="4" t="s">
        <v>6</v>
      </c>
      <c r="J6" s="4" t="s">
        <v>10</v>
      </c>
      <c r="K6" s="4" t="s">
        <v>10</v>
      </c>
      <c r="L6" s="4" t="s">
        <v>6</v>
      </c>
      <c r="M6" s="4" t="s">
        <v>6</v>
      </c>
      <c r="N6" s="4" t="s">
        <v>6</v>
      </c>
      <c r="O6" s="4" t="s">
        <v>10</v>
      </c>
      <c r="P6" s="4" t="s">
        <v>10</v>
      </c>
      <c r="Q6" s="4" t="s">
        <v>10</v>
      </c>
      <c r="R6" s="4" t="s">
        <v>6</v>
      </c>
      <c r="S6" s="4" t="s">
        <v>6</v>
      </c>
      <c r="T6" s="4" t="s">
        <v>10</v>
      </c>
      <c r="U6" s="4" t="s">
        <v>10</v>
      </c>
      <c r="V6" s="4" t="s">
        <v>6</v>
      </c>
      <c r="W6" s="4" t="s">
        <v>6</v>
      </c>
      <c r="X6" s="4" t="s">
        <v>6</v>
      </c>
      <c r="Y6" s="4" t="s">
        <v>10</v>
      </c>
      <c r="Z6" s="4" t="s">
        <v>10</v>
      </c>
      <c r="AA6" s="4" t="s">
        <v>10</v>
      </c>
      <c r="AB6" s="4" t="s">
        <v>6</v>
      </c>
      <c r="AC6" s="4" t="s">
        <v>6</v>
      </c>
      <c r="AD6" s="4" t="s">
        <v>10</v>
      </c>
      <c r="AE6" s="4" t="s">
        <v>10</v>
      </c>
      <c r="AF6" s="4" t="s">
        <v>6</v>
      </c>
      <c r="AG6" s="4" t="s">
        <v>6</v>
      </c>
      <c r="AH6" s="4" t="s">
        <v>6</v>
      </c>
      <c r="AI6" s="4" t="s">
        <v>10</v>
      </c>
      <c r="AJ6" s="4" t="s">
        <v>10</v>
      </c>
      <c r="AK6" s="4" t="s">
        <v>10</v>
      </c>
      <c r="AL6" s="4" t="s">
        <v>6</v>
      </c>
      <c r="AM6" s="4" t="s">
        <v>6</v>
      </c>
      <c r="AN6" s="4" t="s">
        <v>10</v>
      </c>
      <c r="AO6" s="4" t="s">
        <v>10</v>
      </c>
      <c r="AP6" s="4" t="s">
        <v>6</v>
      </c>
      <c r="AQ6" s="4" t="s">
        <v>6</v>
      </c>
      <c r="AR6" s="4" t="s">
        <v>6</v>
      </c>
      <c r="AS6" s="4" t="s">
        <v>10</v>
      </c>
      <c r="AT6" s="4" t="s">
        <v>10</v>
      </c>
      <c r="AU6" s="4" t="s">
        <v>10</v>
      </c>
      <c r="AV6" s="4" t="s">
        <v>6</v>
      </c>
      <c r="AW6" s="4" t="s">
        <v>6</v>
      </c>
      <c r="AX6" s="4" t="s">
        <v>10</v>
      </c>
      <c r="AY6" s="4" t="s">
        <v>10</v>
      </c>
      <c r="AZ6" s="4" t="s">
        <v>6</v>
      </c>
      <c r="BA6" s="4" t="s">
        <v>6</v>
      </c>
      <c r="BB6" s="4" t="s">
        <v>6</v>
      </c>
      <c r="BC6" s="4" t="s">
        <v>10</v>
      </c>
      <c r="BD6" s="4" t="s">
        <v>10</v>
      </c>
      <c r="BE6" s="4" t="s">
        <v>10</v>
      </c>
      <c r="BF6" s="4" t="s">
        <v>6</v>
      </c>
      <c r="BG6" s="4" t="s">
        <v>6</v>
      </c>
      <c r="BH6" s="4" t="s">
        <v>10</v>
      </c>
      <c r="BI6" s="4" t="s">
        <v>10</v>
      </c>
      <c r="BJ6" s="4" t="s">
        <v>6</v>
      </c>
      <c r="BK6" s="4" t="s">
        <v>6</v>
      </c>
      <c r="BL6" s="4" t="s">
        <v>6</v>
      </c>
      <c r="BM6" s="4" t="s">
        <v>10</v>
      </c>
      <c r="BN6" s="4" t="s">
        <v>10</v>
      </c>
      <c r="BO6" s="4" t="s">
        <v>10</v>
      </c>
      <c r="BP6" s="4" t="s">
        <v>6</v>
      </c>
      <c r="BQ6" s="4" t="s">
        <v>6</v>
      </c>
      <c r="BR6" s="4" t="s">
        <v>10</v>
      </c>
      <c r="BS6" s="4" t="s">
        <v>10</v>
      </c>
      <c r="BT6" s="4" t="s">
        <v>6</v>
      </c>
      <c r="BU6" s="4" t="s">
        <v>6</v>
      </c>
      <c r="BV6" s="4" t="s">
        <v>6</v>
      </c>
      <c r="BW6" s="4" t="s">
        <v>10</v>
      </c>
      <c r="BX6" s="4" t="s">
        <v>10</v>
      </c>
      <c r="BY6" s="4" t="s">
        <v>10</v>
      </c>
      <c r="BZ6" s="4" t="s">
        <v>6</v>
      </c>
      <c r="CA6" s="4" t="s">
        <v>6</v>
      </c>
      <c r="CB6" s="4" t="s">
        <v>10</v>
      </c>
      <c r="CC6" s="4" t="s">
        <v>10</v>
      </c>
      <c r="CD6" s="4" t="s">
        <v>6</v>
      </c>
      <c r="CE6" s="4" t="s">
        <v>6</v>
      </c>
      <c r="CF6" s="4" t="s">
        <v>6</v>
      </c>
      <c r="CG6" s="4" t="s">
        <v>10</v>
      </c>
      <c r="CH6" s="4" t="s">
        <v>10</v>
      </c>
      <c r="CI6" s="4" t="s">
        <v>10</v>
      </c>
      <c r="CJ6" s="4" t="s">
        <v>6</v>
      </c>
      <c r="CK6" s="4" t="s">
        <v>6</v>
      </c>
      <c r="CL6" s="4" t="s">
        <v>10</v>
      </c>
      <c r="CM6" s="4" t="s">
        <v>10</v>
      </c>
      <c r="CN6" s="4" t="s">
        <v>6</v>
      </c>
      <c r="CO6" s="4" t="s">
        <v>6</v>
      </c>
      <c r="CP6" s="4" t="s">
        <v>6</v>
      </c>
      <c r="CQ6" s="4" t="s">
        <v>10</v>
      </c>
      <c r="CR6" s="4" t="s">
        <v>10</v>
      </c>
      <c r="CS6" s="4" t="s">
        <v>10</v>
      </c>
      <c r="CT6" s="4" t="s">
        <v>6</v>
      </c>
      <c r="CU6" s="4" t="s">
        <v>6</v>
      </c>
      <c r="CV6" s="4" t="s">
        <v>10</v>
      </c>
      <c r="CW6" s="4" t="s">
        <v>10</v>
      </c>
      <c r="CX6" s="4" t="s">
        <v>6</v>
      </c>
      <c r="CY6" s="4" t="s">
        <v>6</v>
      </c>
      <c r="CZ6" s="4" t="s">
        <v>6</v>
      </c>
      <c r="DA6" s="4" t="s">
        <v>10</v>
      </c>
      <c r="DB6" s="4" t="s">
        <v>10</v>
      </c>
      <c r="DC6" s="4" t="s">
        <v>10</v>
      </c>
      <c r="DD6" s="4" t="s">
        <v>6</v>
      </c>
      <c r="DE6" s="4" t="s">
        <v>6</v>
      </c>
      <c r="DF6" s="4" t="s">
        <v>10</v>
      </c>
      <c r="DG6" s="4" t="s">
        <v>10</v>
      </c>
      <c r="DH6" s="4" t="s">
        <v>6</v>
      </c>
      <c r="DI6" s="4" t="s">
        <v>6</v>
      </c>
      <c r="DJ6" s="4" t="s">
        <v>6</v>
      </c>
      <c r="DK6" s="4" t="s">
        <v>10</v>
      </c>
      <c r="DL6" s="4" t="s">
        <v>10</v>
      </c>
      <c r="DM6" s="4" t="s">
        <v>10</v>
      </c>
      <c r="DN6" s="4" t="s">
        <v>6</v>
      </c>
      <c r="DO6" s="4" t="s">
        <v>6</v>
      </c>
      <c r="DP6" s="4" t="s">
        <v>10</v>
      </c>
      <c r="DQ6" s="4" t="s">
        <v>10</v>
      </c>
      <c r="DR6" s="4" t="s">
        <v>6</v>
      </c>
      <c r="DS6" s="4" t="s">
        <v>6</v>
      </c>
      <c r="DT6" s="4" t="s">
        <v>6</v>
      </c>
      <c r="DU6" s="4" t="s">
        <v>10</v>
      </c>
      <c r="DV6" s="4" t="s">
        <v>10</v>
      </c>
      <c r="DW6" s="4" t="s">
        <v>10</v>
      </c>
      <c r="DX6" s="4" t="s">
        <v>6</v>
      </c>
      <c r="DY6" s="4" t="s">
        <v>6</v>
      </c>
      <c r="DZ6" s="4" t="s">
        <v>10</v>
      </c>
      <c r="EA6" s="4" t="s">
        <v>10</v>
      </c>
      <c r="EB6" s="4" t="s">
        <v>6</v>
      </c>
      <c r="EC6" s="4" t="s">
        <v>6</v>
      </c>
      <c r="ED6" s="4" t="s">
        <v>6</v>
      </c>
      <c r="EE6" s="4" t="s">
        <v>10</v>
      </c>
      <c r="EF6" s="4" t="s">
        <v>10</v>
      </c>
      <c r="EG6" s="4" t="s">
        <v>10</v>
      </c>
      <c r="EH6" s="4" t="s">
        <v>6</v>
      </c>
      <c r="EI6" s="4" t="s">
        <v>6</v>
      </c>
      <c r="EJ6" s="4" t="s">
        <v>10</v>
      </c>
      <c r="EK6" s="4" t="s">
        <v>10</v>
      </c>
      <c r="EL6" s="4" t="s">
        <v>6</v>
      </c>
      <c r="EM6" s="4" t="s">
        <v>6</v>
      </c>
      <c r="EN6" s="4" t="s">
        <v>6</v>
      </c>
      <c r="EO6" s="4" t="s">
        <v>10</v>
      </c>
      <c r="EP6" s="4" t="s">
        <v>10</v>
      </c>
      <c r="EQ6" s="4" t="s">
        <v>10</v>
      </c>
      <c r="ER6" s="4" t="s">
        <v>6</v>
      </c>
      <c r="ES6" s="4" t="s">
        <v>6</v>
      </c>
      <c r="ET6" s="4" t="s">
        <v>10</v>
      </c>
      <c r="EU6" s="4" t="s">
        <v>10</v>
      </c>
    </row>
    <row r="7">
      <c r="A7" s="4" t="s">
        <v>3</v>
      </c>
      <c r="B7" s="4" t="s">
        <v>7</v>
      </c>
      <c r="C7" s="4" t="s">
        <v>8</v>
      </c>
      <c r="D7" s="4" t="s">
        <v>9</v>
      </c>
      <c r="E7" s="4" t="s">
        <v>11</v>
      </c>
      <c r="F7" s="4" t="s">
        <v>12</v>
      </c>
      <c r="G7" s="4" t="s">
        <v>13</v>
      </c>
      <c r="H7" s="4" t="s">
        <v>15</v>
      </c>
      <c r="I7" s="4" t="s">
        <v>16</v>
      </c>
      <c r="J7" s="4" t="s">
        <v>17</v>
      </c>
      <c r="K7" s="4" t="s">
        <v>18</v>
      </c>
      <c r="L7" s="4" t="s">
        <v>20</v>
      </c>
      <c r="M7" s="4" t="s">
        <v>21</v>
      </c>
      <c r="N7" s="4" t="s">
        <v>22</v>
      </c>
      <c r="O7" s="4" t="s">
        <v>23</v>
      </c>
      <c r="P7" s="4" t="s">
        <v>24</v>
      </c>
      <c r="Q7" s="4" t="s">
        <v>25</v>
      </c>
      <c r="R7" s="4" t="s">
        <v>26</v>
      </c>
      <c r="S7" s="4" t="s">
        <v>27</v>
      </c>
      <c r="T7" s="4" t="s">
        <v>28</v>
      </c>
      <c r="U7" s="4" t="s">
        <v>29</v>
      </c>
      <c r="V7" s="4" t="s">
        <v>31</v>
      </c>
      <c r="W7" s="4" t="s">
        <v>32</v>
      </c>
      <c r="X7" s="4" t="s">
        <v>33</v>
      </c>
      <c r="Y7" s="4" t="s">
        <v>34</v>
      </c>
      <c r="Z7" s="4" t="s">
        <v>35</v>
      </c>
      <c r="AA7" s="4" t="s">
        <v>36</v>
      </c>
      <c r="AB7" s="4" t="s">
        <v>37</v>
      </c>
      <c r="AC7" s="4" t="s">
        <v>38</v>
      </c>
      <c r="AD7" s="4" t="s">
        <v>39</v>
      </c>
      <c r="AE7" s="4" t="s">
        <v>40</v>
      </c>
      <c r="AF7" s="4" t="s">
        <v>42</v>
      </c>
      <c r="AG7" s="4" t="s">
        <v>43</v>
      </c>
      <c r="AH7" s="4" t="s">
        <v>44</v>
      </c>
      <c r="AI7" s="4" t="s">
        <v>45</v>
      </c>
      <c r="AJ7" s="4" t="s">
        <v>46</v>
      </c>
      <c r="AK7" s="4" t="s">
        <v>47</v>
      </c>
      <c r="AL7" s="4" t="s">
        <v>48</v>
      </c>
      <c r="AM7" s="4" t="s">
        <v>49</v>
      </c>
      <c r="AN7" s="4" t="s">
        <v>50</v>
      </c>
      <c r="AO7" s="4" t="s">
        <v>51</v>
      </c>
      <c r="AP7" s="4" t="s">
        <v>53</v>
      </c>
      <c r="AQ7" s="4" t="s">
        <v>54</v>
      </c>
      <c r="AR7" s="4" t="s">
        <v>55</v>
      </c>
      <c r="AS7" s="4" t="s">
        <v>56</v>
      </c>
      <c r="AT7" s="4" t="s">
        <v>57</v>
      </c>
      <c r="AU7" s="4" t="s">
        <v>58</v>
      </c>
      <c r="AV7" s="4" t="s">
        <v>59</v>
      </c>
      <c r="AW7" s="4" t="s">
        <v>60</v>
      </c>
      <c r="AX7" s="4" t="s">
        <v>61</v>
      </c>
      <c r="AY7" s="4" t="s">
        <v>62</v>
      </c>
      <c r="AZ7" s="4" t="s">
        <v>64</v>
      </c>
      <c r="BA7" s="4" t="s">
        <v>65</v>
      </c>
      <c r="BB7" s="4" t="s">
        <v>66</v>
      </c>
      <c r="BC7" s="4" t="s">
        <v>67</v>
      </c>
      <c r="BD7" s="4" t="s">
        <v>68</v>
      </c>
      <c r="BE7" s="4" t="s">
        <v>69</v>
      </c>
      <c r="BF7" s="4" t="s">
        <v>70</v>
      </c>
      <c r="BG7" s="4" t="s">
        <v>71</v>
      </c>
      <c r="BH7" s="4" t="s">
        <v>72</v>
      </c>
      <c r="BI7" s="4" t="s">
        <v>73</v>
      </c>
      <c r="BJ7" s="4" t="s">
        <v>75</v>
      </c>
      <c r="BK7" s="4" t="s">
        <v>76</v>
      </c>
      <c r="BL7" s="4" t="s">
        <v>77</v>
      </c>
      <c r="BM7" s="4" t="s">
        <v>78</v>
      </c>
      <c r="BN7" s="4" t="s">
        <v>79</v>
      </c>
      <c r="BO7" s="4" t="s">
        <v>80</v>
      </c>
      <c r="BP7" s="4" t="s">
        <v>81</v>
      </c>
      <c r="BQ7" s="4" t="s">
        <v>82</v>
      </c>
      <c r="BR7" s="4" t="s">
        <v>83</v>
      </c>
      <c r="BS7" s="4" t="s">
        <v>84</v>
      </c>
      <c r="BT7" s="4" t="s">
        <v>86</v>
      </c>
      <c r="BU7" s="4" t="s">
        <v>87</v>
      </c>
      <c r="BV7" s="4" t="s">
        <v>88</v>
      </c>
      <c r="BW7" s="4" t="s">
        <v>89</v>
      </c>
      <c r="BX7" s="4" t="s">
        <v>90</v>
      </c>
      <c r="BY7" s="4" t="s">
        <v>91</v>
      </c>
      <c r="BZ7" s="4" t="s">
        <v>92</v>
      </c>
      <c r="CA7" s="4" t="s">
        <v>93</v>
      </c>
      <c r="CB7" s="4" t="s">
        <v>94</v>
      </c>
      <c r="CC7" s="4" t="s">
        <v>95</v>
      </c>
      <c r="CD7" s="4" t="s">
        <v>97</v>
      </c>
      <c r="CE7" s="4" t="s">
        <v>98</v>
      </c>
      <c r="CF7" s="4" t="s">
        <v>99</v>
      </c>
      <c r="CG7" s="4" t="s">
        <v>100</v>
      </c>
      <c r="CH7" s="4" t="s">
        <v>101</v>
      </c>
      <c r="CI7" s="4" t="s">
        <v>102</v>
      </c>
      <c r="CJ7" s="4" t="s">
        <v>103</v>
      </c>
      <c r="CK7" s="4" t="s">
        <v>104</v>
      </c>
      <c r="CL7" s="4" t="s">
        <v>105</v>
      </c>
      <c r="CM7" s="4" t="s">
        <v>106</v>
      </c>
      <c r="CN7" s="4" t="s">
        <v>108</v>
      </c>
      <c r="CO7" s="4" t="s">
        <v>109</v>
      </c>
      <c r="CP7" s="4" t="s">
        <v>110</v>
      </c>
      <c r="CQ7" s="4" t="s">
        <v>111</v>
      </c>
      <c r="CR7" s="4" t="s">
        <v>112</v>
      </c>
      <c r="CS7" s="4" t="s">
        <v>113</v>
      </c>
      <c r="CT7" s="4" t="s">
        <v>114</v>
      </c>
      <c r="CU7" s="4" t="s">
        <v>115</v>
      </c>
      <c r="CV7" s="4" t="s">
        <v>116</v>
      </c>
      <c r="CW7" s="4" t="s">
        <v>117</v>
      </c>
      <c r="CX7" s="4" t="s">
        <v>119</v>
      </c>
      <c r="CY7" s="4" t="s">
        <v>120</v>
      </c>
      <c r="CZ7" s="4" t="s">
        <v>121</v>
      </c>
      <c r="DA7" s="4" t="s">
        <v>122</v>
      </c>
      <c r="DB7" s="4" t="s">
        <v>123</v>
      </c>
      <c r="DC7" s="4" t="s">
        <v>124</v>
      </c>
      <c r="DD7" s="4" t="s">
        <v>125</v>
      </c>
      <c r="DE7" s="4" t="s">
        <v>126</v>
      </c>
      <c r="DF7" s="4" t="s">
        <v>127</v>
      </c>
      <c r="DG7" s="4" t="s">
        <v>128</v>
      </c>
      <c r="DH7" s="4" t="s">
        <v>130</v>
      </c>
      <c r="DI7" s="4" t="s">
        <v>131</v>
      </c>
      <c r="DJ7" s="4" t="s">
        <v>132</v>
      </c>
      <c r="DK7" s="4" t="s">
        <v>133</v>
      </c>
      <c r="DL7" s="4" t="s">
        <v>134</v>
      </c>
      <c r="DM7" s="4" t="s">
        <v>135</v>
      </c>
      <c r="DN7" s="4" t="s">
        <v>136</v>
      </c>
      <c r="DO7" s="4" t="s">
        <v>137</v>
      </c>
      <c r="DP7" s="4" t="s">
        <v>138</v>
      </c>
      <c r="DQ7" s="4" t="s">
        <v>139</v>
      </c>
      <c r="DR7" s="4" t="s">
        <v>141</v>
      </c>
      <c r="DS7" s="4" t="s">
        <v>142</v>
      </c>
      <c r="DT7" s="4" t="s">
        <v>143</v>
      </c>
      <c r="DU7" s="4" t="s">
        <v>144</v>
      </c>
      <c r="DV7" s="4" t="s">
        <v>145</v>
      </c>
      <c r="DW7" s="4" t="s">
        <v>146</v>
      </c>
      <c r="DX7" s="4" t="s">
        <v>147</v>
      </c>
      <c r="DY7" s="4" t="s">
        <v>148</v>
      </c>
      <c r="DZ7" s="4" t="s">
        <v>149</v>
      </c>
      <c r="EA7" s="4" t="s">
        <v>150</v>
      </c>
      <c r="EB7" s="4" t="s">
        <v>152</v>
      </c>
      <c r="EC7" s="4" t="s">
        <v>153</v>
      </c>
      <c r="ED7" s="4" t="s">
        <v>154</v>
      </c>
      <c r="EE7" s="4" t="s">
        <v>155</v>
      </c>
      <c r="EF7" s="4" t="s">
        <v>156</v>
      </c>
      <c r="EG7" s="4" t="s">
        <v>157</v>
      </c>
      <c r="EH7" s="4" t="s">
        <v>158</v>
      </c>
      <c r="EI7" s="4" t="s">
        <v>159</v>
      </c>
      <c r="EJ7" s="4" t="s">
        <v>160</v>
      </c>
      <c r="EK7" s="4" t="s">
        <v>161</v>
      </c>
      <c r="EL7" s="4" t="s">
        <v>163</v>
      </c>
      <c r="EM7" s="4" t="s">
        <v>164</v>
      </c>
      <c r="EN7" s="4" t="s">
        <v>165</v>
      </c>
      <c r="EO7" s="4" t="s">
        <v>166</v>
      </c>
      <c r="EP7" s="4" t="s">
        <v>167</v>
      </c>
      <c r="EQ7" s="4" t="s">
        <v>168</v>
      </c>
      <c r="ER7" s="4" t="s">
        <v>169</v>
      </c>
      <c r="ES7" s="4" t="s">
        <v>170</v>
      </c>
      <c r="ET7" s="4" t="s">
        <v>171</v>
      </c>
      <c r="EU7" s="4" t="s">
        <v>172</v>
      </c>
    </row>
    <row r="8">
      <c r="A8" s="5" t="s">
        <v>173</v>
      </c>
      <c r="B8" s="10" t="str">
        <f>C8/D8</f>
        <v>0.3565217391304348</v>
      </c>
      <c r="C8" s="9">
        <v>41</v>
      </c>
      <c r="D8" s="9">
        <v>115</v>
      </c>
      <c r="E8" s="7" t="s">
        <v>174</v>
      </c>
      <c r="H8" s="9">
        <v>115</v>
      </c>
      <c r="I8" s="9">
        <v>115</v>
      </c>
      <c r="J8" s="7" t="s">
        <v>174</v>
      </c>
      <c r="L8" s="10" t="str">
        <f>M8/N8</f>
        <v>0.5</v>
      </c>
      <c r="M8" s="9">
        <v>1</v>
      </c>
      <c r="N8" s="9">
        <v>2</v>
      </c>
      <c r="O8" s="7" t="s">
        <v>174</v>
      </c>
      <c r="R8" s="9">
        <v>2</v>
      </c>
      <c r="S8" s="9">
        <v>2</v>
      </c>
      <c r="T8" s="7" t="s">
        <v>174</v>
      </c>
      <c r="V8" s="7" t="s">
        <v>174</v>
      </c>
      <c r="Y8" s="7" t="s">
        <v>174</v>
      </c>
      <c r="AB8" s="7" t="s">
        <v>174</v>
      </c>
      <c r="AD8" s="7" t="s">
        <v>174</v>
      </c>
      <c r="AF8" s="10" t="str">
        <f>AG8/AH8</f>
        <v>0</v>
      </c>
      <c r="AG8" s="9">
        <v>0</v>
      </c>
      <c r="AH8" s="9">
        <v>2</v>
      </c>
      <c r="AI8" s="7" t="s">
        <v>174</v>
      </c>
      <c r="AL8" s="9">
        <v>2</v>
      </c>
      <c r="AM8" s="9">
        <v>2</v>
      </c>
      <c r="AN8" s="7" t="s">
        <v>174</v>
      </c>
      <c r="AP8" s="10" t="str">
        <f>AQ8/AR8</f>
        <v>0.3333333333333333</v>
      </c>
      <c r="AQ8" s="9">
        <v>1</v>
      </c>
      <c r="AR8" s="9">
        <v>3</v>
      </c>
      <c r="AS8" s="7" t="s">
        <v>174</v>
      </c>
      <c r="AV8" s="9">
        <v>3</v>
      </c>
      <c r="AW8" s="9">
        <v>3</v>
      </c>
      <c r="AX8" s="7" t="s">
        <v>174</v>
      </c>
      <c r="AZ8" s="10" t="str">
        <f>BA8/BB8</f>
        <v>1</v>
      </c>
      <c r="BA8" s="9">
        <v>1</v>
      </c>
      <c r="BB8" s="9">
        <v>1</v>
      </c>
      <c r="BC8" s="7" t="s">
        <v>174</v>
      </c>
      <c r="BF8" s="9">
        <v>1</v>
      </c>
      <c r="BG8" s="9">
        <v>1</v>
      </c>
      <c r="BH8" s="7" t="s">
        <v>174</v>
      </c>
      <c r="BJ8" s="7" t="s">
        <v>174</v>
      </c>
      <c r="BM8" s="7" t="s">
        <v>174</v>
      </c>
      <c r="BP8" s="7" t="s">
        <v>174</v>
      </c>
      <c r="BR8" s="7" t="s">
        <v>174</v>
      </c>
      <c r="BT8" s="10" t="str">
        <f>BU8/BV8</f>
        <v>0</v>
      </c>
      <c r="BU8" s="9">
        <v>0</v>
      </c>
      <c r="BV8" s="9">
        <v>1</v>
      </c>
      <c r="BW8" s="7" t="s">
        <v>174</v>
      </c>
      <c r="BZ8" s="9">
        <v>1</v>
      </c>
      <c r="CA8" s="9">
        <v>1</v>
      </c>
      <c r="CB8" s="7" t="s">
        <v>174</v>
      </c>
      <c r="CD8" s="7" t="s">
        <v>174</v>
      </c>
      <c r="CG8" s="7" t="s">
        <v>174</v>
      </c>
      <c r="CJ8" s="7" t="s">
        <v>174</v>
      </c>
      <c r="CL8" s="7" t="s">
        <v>174</v>
      </c>
      <c r="CN8" s="10" t="str">
        <f>CO8/CP8</f>
        <v>1</v>
      </c>
      <c r="CO8" s="9">
        <v>1</v>
      </c>
      <c r="CP8" s="9">
        <v>1</v>
      </c>
      <c r="CQ8" s="7" t="s">
        <v>174</v>
      </c>
      <c r="CT8" s="9">
        <v>1</v>
      </c>
      <c r="CU8" s="9">
        <v>1</v>
      </c>
      <c r="CV8" s="7" t="s">
        <v>174</v>
      </c>
      <c r="CX8" s="10" t="str">
        <f>CY8/CZ8</f>
        <v>0.3333333333333333</v>
      </c>
      <c r="CY8" s="9">
        <v>1</v>
      </c>
      <c r="CZ8" s="9">
        <v>3</v>
      </c>
      <c r="DA8" s="7" t="s">
        <v>174</v>
      </c>
      <c r="DD8" s="9">
        <v>3</v>
      </c>
      <c r="DE8" s="9">
        <v>3</v>
      </c>
      <c r="DF8" s="7" t="s">
        <v>174</v>
      </c>
      <c r="DH8" s="7" t="s">
        <v>174</v>
      </c>
      <c r="DK8" s="7" t="s">
        <v>174</v>
      </c>
      <c r="DN8" s="7" t="s">
        <v>174</v>
      </c>
      <c r="DP8" s="7" t="s">
        <v>174</v>
      </c>
      <c r="DR8" s="7" t="s">
        <v>174</v>
      </c>
      <c r="DU8" s="7" t="s">
        <v>174</v>
      </c>
      <c r="DX8" s="7" t="s">
        <v>174</v>
      </c>
      <c r="DZ8" s="7" t="s">
        <v>174</v>
      </c>
      <c r="EB8" s="10" t="str">
        <f>EC8/ED8</f>
        <v>0</v>
      </c>
      <c r="EC8" s="9">
        <v>0</v>
      </c>
      <c r="ED8" s="9">
        <v>3</v>
      </c>
      <c r="EE8" s="7" t="s">
        <v>174</v>
      </c>
      <c r="EH8" s="9">
        <v>3</v>
      </c>
      <c r="EI8" s="9">
        <v>3</v>
      </c>
      <c r="EJ8" s="7" t="s">
        <v>174</v>
      </c>
      <c r="EL8" s="10" t="str">
        <f>EM8/EN8</f>
        <v>0.3511450381679389</v>
      </c>
      <c r="EM8" s="9">
        <v>46</v>
      </c>
      <c r="EN8" s="9">
        <v>131</v>
      </c>
      <c r="EO8" s="7" t="s">
        <v>174</v>
      </c>
      <c r="ER8" s="9">
        <v>131</v>
      </c>
      <c r="ES8" s="9">
        <v>131</v>
      </c>
      <c r="ET8" s="7" t="s">
        <v>174</v>
      </c>
    </row>
    <row r="9">
      <c r="A9" s="5" t="s">
        <v>175</v>
      </c>
      <c r="B9" s="10" t="str">
        <f>C9/D9</f>
        <v>0.125</v>
      </c>
      <c r="C9" s="9">
        <v>1</v>
      </c>
      <c r="D9" s="9">
        <v>8</v>
      </c>
      <c r="E9" s="10" t="str">
        <f>F9/G9</f>
        <v>0</v>
      </c>
      <c r="F9" s="9">
        <v>0</v>
      </c>
      <c r="G9" s="9">
        <v>1</v>
      </c>
      <c r="H9" s="9">
        <v>8</v>
      </c>
      <c r="I9" s="9">
        <v>8</v>
      </c>
      <c r="J9" s="9">
        <v>1</v>
      </c>
      <c r="K9" s="9">
        <v>1</v>
      </c>
      <c r="L9" s="10" t="str">
        <f>M9/N9</f>
        <v>0.5833333333333334</v>
      </c>
      <c r="M9" s="9">
        <v>7</v>
      </c>
      <c r="N9" s="9">
        <v>12</v>
      </c>
      <c r="O9" s="10" t="str">
        <f>P9/Q9</f>
        <v>1</v>
      </c>
      <c r="P9" s="9">
        <v>1</v>
      </c>
      <c r="Q9" s="9">
        <v>1</v>
      </c>
      <c r="R9" s="9">
        <v>12</v>
      </c>
      <c r="S9" s="9">
        <v>12</v>
      </c>
      <c r="T9" s="9">
        <v>1</v>
      </c>
      <c r="U9" s="9">
        <v>1</v>
      </c>
      <c r="V9" s="10" t="str">
        <f>W9/X9</f>
        <v>0.3333333333333333</v>
      </c>
      <c r="W9" s="9">
        <v>2</v>
      </c>
      <c r="X9" s="9">
        <v>6</v>
      </c>
      <c r="Y9" s="10" t="str">
        <f>Z9/AA9</f>
        <v>0</v>
      </c>
      <c r="Z9" s="9">
        <v>0</v>
      </c>
      <c r="AA9" s="9">
        <v>1</v>
      </c>
      <c r="AB9" s="9">
        <v>6</v>
      </c>
      <c r="AC9" s="9">
        <v>6</v>
      </c>
      <c r="AD9" s="9">
        <v>1</v>
      </c>
      <c r="AE9" s="9">
        <v>1</v>
      </c>
      <c r="AF9" s="10" t="str">
        <f>AG9/AH9</f>
        <v>0.2</v>
      </c>
      <c r="AG9" s="9">
        <v>1</v>
      </c>
      <c r="AH9" s="9">
        <v>5</v>
      </c>
      <c r="AI9" s="10" t="str">
        <f>AJ9/AK9</f>
        <v>0</v>
      </c>
      <c r="AJ9" s="9">
        <v>0</v>
      </c>
      <c r="AK9" s="9">
        <v>1</v>
      </c>
      <c r="AL9" s="9">
        <v>5</v>
      </c>
      <c r="AM9" s="9">
        <v>5</v>
      </c>
      <c r="AN9" s="9">
        <v>1</v>
      </c>
      <c r="AO9" s="9">
        <v>1</v>
      </c>
      <c r="AP9" s="10" t="str">
        <f>AQ9/AR9</f>
        <v>0.4</v>
      </c>
      <c r="AQ9" s="9">
        <v>2</v>
      </c>
      <c r="AR9" s="9">
        <v>5</v>
      </c>
      <c r="AS9" s="10" t="str">
        <f>AT9/AU9</f>
        <v>0.5</v>
      </c>
      <c r="AT9" s="9">
        <v>1</v>
      </c>
      <c r="AU9" s="9">
        <v>2</v>
      </c>
      <c r="AV9" s="9">
        <v>5</v>
      </c>
      <c r="AW9" s="9">
        <v>5</v>
      </c>
      <c r="AX9" s="9">
        <v>2</v>
      </c>
      <c r="AY9" s="9">
        <v>2</v>
      </c>
      <c r="AZ9" s="10" t="str">
        <f>BA9/BB9</f>
        <v>0</v>
      </c>
      <c r="BA9" s="9">
        <v>0</v>
      </c>
      <c r="BB9" s="9">
        <v>5</v>
      </c>
      <c r="BC9" s="7" t="s">
        <v>174</v>
      </c>
      <c r="BF9" s="9">
        <v>5</v>
      </c>
      <c r="BG9" s="9">
        <v>5</v>
      </c>
      <c r="BH9" s="7" t="s">
        <v>174</v>
      </c>
      <c r="BJ9" s="10" t="str">
        <f>BK9/BL9</f>
        <v>0</v>
      </c>
      <c r="BK9" s="9">
        <v>0</v>
      </c>
      <c r="BL9" s="9">
        <v>2</v>
      </c>
      <c r="BM9" s="7" t="s">
        <v>174</v>
      </c>
      <c r="BP9" s="9">
        <v>2</v>
      </c>
      <c r="BQ9" s="9">
        <v>2</v>
      </c>
      <c r="BR9" s="7" t="s">
        <v>174</v>
      </c>
      <c r="BT9" s="10" t="str">
        <f>BU9/BV9</f>
        <v>0.3333333333333333</v>
      </c>
      <c r="BU9" s="9">
        <v>1</v>
      </c>
      <c r="BV9" s="9">
        <v>3</v>
      </c>
      <c r="BW9" s="7" t="s">
        <v>174</v>
      </c>
      <c r="BZ9" s="9">
        <v>3</v>
      </c>
      <c r="CA9" s="9">
        <v>3</v>
      </c>
      <c r="CB9" s="7" t="s">
        <v>174</v>
      </c>
      <c r="CD9" s="10" t="str">
        <f>CE9/CF9</f>
        <v>0</v>
      </c>
      <c r="CE9" s="9">
        <v>0</v>
      </c>
      <c r="CF9" s="9">
        <v>2</v>
      </c>
      <c r="CG9" s="10" t="str">
        <f>CH9/CI9</f>
        <v>0</v>
      </c>
      <c r="CH9" s="9">
        <v>0</v>
      </c>
      <c r="CI9" s="9">
        <v>1</v>
      </c>
      <c r="CJ9" s="9">
        <v>2</v>
      </c>
      <c r="CK9" s="9">
        <v>2</v>
      </c>
      <c r="CL9" s="9">
        <v>1</v>
      </c>
      <c r="CM9" s="9">
        <v>1</v>
      </c>
      <c r="CN9" s="10" t="str">
        <f>CO9/CP9</f>
        <v>0.3333333333333333</v>
      </c>
      <c r="CO9" s="9">
        <v>1</v>
      </c>
      <c r="CP9" s="9">
        <v>3</v>
      </c>
      <c r="CQ9" s="7" t="s">
        <v>174</v>
      </c>
      <c r="CT9" s="9">
        <v>3</v>
      </c>
      <c r="CU9" s="9">
        <v>3</v>
      </c>
      <c r="CV9" s="7" t="s">
        <v>174</v>
      </c>
      <c r="CX9" s="10" t="str">
        <f>CY9/CZ9</f>
        <v>0</v>
      </c>
      <c r="CY9" s="9">
        <v>0</v>
      </c>
      <c r="CZ9" s="9">
        <v>2</v>
      </c>
      <c r="DA9" s="10" t="str">
        <f>DB9/DC9</f>
        <v>0</v>
      </c>
      <c r="DB9" s="9">
        <v>0</v>
      </c>
      <c r="DC9" s="9">
        <v>1</v>
      </c>
      <c r="DD9" s="9">
        <v>2</v>
      </c>
      <c r="DE9" s="9">
        <v>2</v>
      </c>
      <c r="DF9" s="9">
        <v>1</v>
      </c>
      <c r="DG9" s="9">
        <v>1</v>
      </c>
      <c r="DH9" s="10" t="str">
        <f>DI9/DJ9</f>
        <v>0.3333333333333333</v>
      </c>
      <c r="DI9" s="9">
        <v>1</v>
      </c>
      <c r="DJ9" s="9">
        <v>3</v>
      </c>
      <c r="DK9" s="10" t="str">
        <f>DL9/DM9</f>
        <v>0</v>
      </c>
      <c r="DL9" s="9">
        <v>0</v>
      </c>
      <c r="DM9" s="9">
        <v>1</v>
      </c>
      <c r="DN9" s="9">
        <v>3</v>
      </c>
      <c r="DO9" s="9">
        <v>3</v>
      </c>
      <c r="DP9" s="9">
        <v>1</v>
      </c>
      <c r="DQ9" s="9">
        <v>1</v>
      </c>
      <c r="DR9" s="10" t="str">
        <f>DS9/DT9</f>
        <v>0</v>
      </c>
      <c r="DS9" s="9">
        <v>0</v>
      </c>
      <c r="DT9" s="9">
        <v>1</v>
      </c>
      <c r="DU9" s="7" t="s">
        <v>174</v>
      </c>
      <c r="DX9" s="9">
        <v>1</v>
      </c>
      <c r="DY9" s="9">
        <v>1</v>
      </c>
      <c r="DZ9" s="7" t="s">
        <v>174</v>
      </c>
      <c r="EB9" s="10" t="str">
        <f>EC9/ED9</f>
        <v>0.25</v>
      </c>
      <c r="EC9" s="9">
        <v>2</v>
      </c>
      <c r="ED9" s="9">
        <v>8</v>
      </c>
      <c r="EE9" s="7" t="s">
        <v>174</v>
      </c>
      <c r="EH9" s="9">
        <v>8</v>
      </c>
      <c r="EI9" s="9">
        <v>8</v>
      </c>
      <c r="EJ9" s="7" t="s">
        <v>174</v>
      </c>
      <c r="EL9" s="10" t="str">
        <f>EM9/EN9</f>
        <v>0.27692307692307694</v>
      </c>
      <c r="EM9" s="9">
        <v>18</v>
      </c>
      <c r="EN9" s="9">
        <v>65</v>
      </c>
      <c r="EO9" s="10" t="str">
        <f>EP9/EQ9</f>
        <v>0.2222222222222222</v>
      </c>
      <c r="EP9" s="9">
        <v>2</v>
      </c>
      <c r="EQ9" s="9">
        <v>9</v>
      </c>
      <c r="ER9" s="9">
        <v>65</v>
      </c>
      <c r="ES9" s="9">
        <v>65</v>
      </c>
      <c r="ET9" s="9">
        <v>9</v>
      </c>
      <c r="EU9" s="9">
        <v>9</v>
      </c>
    </row>
    <row r="10">
      <c r="A10" s="5" t="s">
        <v>176</v>
      </c>
      <c r="B10" s="10" t="str">
        <f>C10/D10</f>
        <v>0.1111111111111111</v>
      </c>
      <c r="C10" s="9">
        <v>1</v>
      </c>
      <c r="D10" s="9">
        <v>9</v>
      </c>
      <c r="E10" s="10" t="str">
        <f>F10/G10</f>
        <v>0</v>
      </c>
      <c r="F10" s="9">
        <v>0</v>
      </c>
      <c r="G10" s="9">
        <v>1</v>
      </c>
      <c r="H10" s="9">
        <v>9</v>
      </c>
      <c r="I10" s="9">
        <v>9</v>
      </c>
      <c r="J10" s="9">
        <v>1</v>
      </c>
      <c r="K10" s="9">
        <v>1</v>
      </c>
      <c r="L10" s="10" t="str">
        <f>M10/N10</f>
        <v>0.6</v>
      </c>
      <c r="M10" s="9">
        <v>3</v>
      </c>
      <c r="N10" s="9">
        <v>5</v>
      </c>
      <c r="O10" s="7" t="s">
        <v>174</v>
      </c>
      <c r="R10" s="9">
        <v>5</v>
      </c>
      <c r="S10" s="9">
        <v>5</v>
      </c>
      <c r="T10" s="7" t="s">
        <v>174</v>
      </c>
      <c r="V10" s="10" t="str">
        <f>W10/X10</f>
        <v>0.3333333333333333</v>
      </c>
      <c r="W10" s="9">
        <v>2</v>
      </c>
      <c r="X10" s="9">
        <v>6</v>
      </c>
      <c r="Y10" s="10" t="str">
        <f>Z10/AA10</f>
        <v>0.5</v>
      </c>
      <c r="Z10" s="9">
        <v>1</v>
      </c>
      <c r="AA10" s="9">
        <v>2</v>
      </c>
      <c r="AB10" s="9">
        <v>6</v>
      </c>
      <c r="AC10" s="9">
        <v>6</v>
      </c>
      <c r="AD10" s="9">
        <v>2</v>
      </c>
      <c r="AE10" s="9">
        <v>2</v>
      </c>
      <c r="AF10" s="10" t="str">
        <f>AG10/AH10</f>
        <v>0.3333333333333333</v>
      </c>
      <c r="AG10" s="9">
        <v>1</v>
      </c>
      <c r="AH10" s="9">
        <v>3</v>
      </c>
      <c r="AI10" s="10" t="str">
        <f>AJ10/AK10</f>
        <v>1</v>
      </c>
      <c r="AJ10" s="9">
        <v>1</v>
      </c>
      <c r="AK10" s="9">
        <v>1</v>
      </c>
      <c r="AL10" s="9">
        <v>3</v>
      </c>
      <c r="AM10" s="9">
        <v>3</v>
      </c>
      <c r="AN10" s="9">
        <v>1</v>
      </c>
      <c r="AO10" s="9">
        <v>1</v>
      </c>
      <c r="AP10" s="10" t="str">
        <f>AQ10/AR10</f>
        <v>0.3333333333333333</v>
      </c>
      <c r="AQ10" s="9">
        <v>1</v>
      </c>
      <c r="AR10" s="9">
        <v>3</v>
      </c>
      <c r="AS10" s="7" t="s">
        <v>174</v>
      </c>
      <c r="AV10" s="9">
        <v>3</v>
      </c>
      <c r="AW10" s="9">
        <v>3</v>
      </c>
      <c r="AX10" s="7" t="s">
        <v>174</v>
      </c>
      <c r="AZ10" s="10" t="str">
        <f>BA10/BB10</f>
        <v>0.25</v>
      </c>
      <c r="BA10" s="9">
        <v>1</v>
      </c>
      <c r="BB10" s="9">
        <v>4</v>
      </c>
      <c r="BC10" s="10" t="str">
        <f>BD10/BE10</f>
        <v>0</v>
      </c>
      <c r="BD10" s="9">
        <v>0</v>
      </c>
      <c r="BE10" s="9">
        <v>1</v>
      </c>
      <c r="BF10" s="9">
        <v>4</v>
      </c>
      <c r="BG10" s="9">
        <v>4</v>
      </c>
      <c r="BH10" s="9">
        <v>1</v>
      </c>
      <c r="BI10" s="9">
        <v>1</v>
      </c>
      <c r="BJ10" s="10" t="str">
        <f>BK10/BL10</f>
        <v>0</v>
      </c>
      <c r="BK10" s="9">
        <v>0</v>
      </c>
      <c r="BL10" s="9">
        <v>4</v>
      </c>
      <c r="BM10" s="10" t="str">
        <f>BN10/BO10</f>
        <v>0</v>
      </c>
      <c r="BN10" s="9">
        <v>0</v>
      </c>
      <c r="BO10" s="9">
        <v>1</v>
      </c>
      <c r="BP10" s="9">
        <v>4</v>
      </c>
      <c r="BQ10" s="9">
        <v>4</v>
      </c>
      <c r="BR10" s="9">
        <v>1</v>
      </c>
      <c r="BS10" s="9">
        <v>1</v>
      </c>
      <c r="BT10" s="10" t="str">
        <f>BU10/BV10</f>
        <v>0</v>
      </c>
      <c r="BU10" s="9">
        <v>0</v>
      </c>
      <c r="BV10" s="9">
        <v>2</v>
      </c>
      <c r="BW10" s="10" t="str">
        <f>BX10/BY10</f>
        <v>0</v>
      </c>
      <c r="BX10" s="9">
        <v>0</v>
      </c>
      <c r="BY10" s="9">
        <v>1</v>
      </c>
      <c r="BZ10" s="9">
        <v>2</v>
      </c>
      <c r="CA10" s="9">
        <v>2</v>
      </c>
      <c r="CB10" s="9">
        <v>1</v>
      </c>
      <c r="CC10" s="9">
        <v>1</v>
      </c>
      <c r="CD10" s="10" t="str">
        <f>CE10/CF10</f>
        <v>0</v>
      </c>
      <c r="CE10" s="9">
        <v>0</v>
      </c>
      <c r="CF10" s="9">
        <v>1</v>
      </c>
      <c r="CG10" s="10" t="str">
        <f>CH10/CI10</f>
        <v>0</v>
      </c>
      <c r="CH10" s="9">
        <v>0</v>
      </c>
      <c r="CI10" s="9">
        <v>1</v>
      </c>
      <c r="CJ10" s="9">
        <v>1</v>
      </c>
      <c r="CK10" s="9">
        <v>1</v>
      </c>
      <c r="CL10" s="9">
        <v>1</v>
      </c>
      <c r="CM10" s="9">
        <v>1</v>
      </c>
      <c r="CN10" s="10" t="str">
        <f>CO10/CP10</f>
        <v>0</v>
      </c>
      <c r="CO10" s="9">
        <v>0</v>
      </c>
      <c r="CP10" s="9">
        <v>1</v>
      </c>
      <c r="CQ10" s="7" t="s">
        <v>174</v>
      </c>
      <c r="CT10" s="9">
        <v>1</v>
      </c>
      <c r="CU10" s="9">
        <v>1</v>
      </c>
      <c r="CV10" s="7" t="s">
        <v>174</v>
      </c>
      <c r="CX10" s="10" t="str">
        <f>CY10/CZ10</f>
        <v>0</v>
      </c>
      <c r="CY10" s="9">
        <v>0</v>
      </c>
      <c r="CZ10" s="9">
        <v>1</v>
      </c>
      <c r="DA10" s="7" t="s">
        <v>174</v>
      </c>
      <c r="DD10" s="9">
        <v>1</v>
      </c>
      <c r="DE10" s="9">
        <v>1</v>
      </c>
      <c r="DF10" s="7" t="s">
        <v>174</v>
      </c>
      <c r="DH10" s="10" t="str">
        <f>DI10/DJ10</f>
        <v>0.6666666666666666</v>
      </c>
      <c r="DI10" s="9">
        <v>2</v>
      </c>
      <c r="DJ10" s="9">
        <v>3</v>
      </c>
      <c r="DK10" s="10" t="str">
        <f>DL10/DM10</f>
        <v>1</v>
      </c>
      <c r="DL10" s="9">
        <v>1</v>
      </c>
      <c r="DM10" s="9">
        <v>1</v>
      </c>
      <c r="DN10" s="9">
        <v>3</v>
      </c>
      <c r="DO10" s="9">
        <v>3</v>
      </c>
      <c r="DP10" s="9">
        <v>1</v>
      </c>
      <c r="DQ10" s="9">
        <v>1</v>
      </c>
      <c r="DR10" s="10" t="str">
        <f>DS10/DT10</f>
        <v>0.3333333333333333</v>
      </c>
      <c r="DS10" s="9">
        <v>1</v>
      </c>
      <c r="DT10" s="9">
        <v>3</v>
      </c>
      <c r="DU10" s="10" t="str">
        <f>DV10/DW10</f>
        <v>1</v>
      </c>
      <c r="DV10" s="9">
        <v>1</v>
      </c>
      <c r="DW10" s="9">
        <v>1</v>
      </c>
      <c r="DX10" s="9">
        <v>3</v>
      </c>
      <c r="DY10" s="9">
        <v>3</v>
      </c>
      <c r="DZ10" s="9">
        <v>1</v>
      </c>
      <c r="EA10" s="9">
        <v>1</v>
      </c>
      <c r="EB10" s="10" t="str">
        <f>EC10/ED10</f>
        <v>0.25</v>
      </c>
      <c r="EC10" s="9">
        <v>2</v>
      </c>
      <c r="ED10" s="9">
        <v>8</v>
      </c>
      <c r="EE10" s="10" t="str">
        <f>EF10/EG10</f>
        <v>0.5</v>
      </c>
      <c r="EF10" s="9">
        <v>1</v>
      </c>
      <c r="EG10" s="9">
        <v>2</v>
      </c>
      <c r="EH10" s="9">
        <v>8</v>
      </c>
      <c r="EI10" s="9">
        <v>8</v>
      </c>
      <c r="EJ10" s="9">
        <v>2</v>
      </c>
      <c r="EK10" s="9">
        <v>2</v>
      </c>
      <c r="EL10" s="10" t="str">
        <f>EM10/EN10</f>
        <v>0.2641509433962264</v>
      </c>
      <c r="EM10" s="9">
        <v>14</v>
      </c>
      <c r="EN10" s="9">
        <v>53</v>
      </c>
      <c r="EO10" s="10" t="str">
        <f>EP10/EQ10</f>
        <v>0.4166666666666667</v>
      </c>
      <c r="EP10" s="9">
        <v>5</v>
      </c>
      <c r="EQ10" s="9">
        <v>12</v>
      </c>
      <c r="ER10" s="9">
        <v>53</v>
      </c>
      <c r="ES10" s="9">
        <v>53</v>
      </c>
      <c r="ET10" s="9">
        <v>12</v>
      </c>
      <c r="EU10" s="9">
        <v>12</v>
      </c>
    </row>
    <row r="11">
      <c r="A11" s="5" t="s">
        <v>177</v>
      </c>
      <c r="B11" s="10" t="str">
        <f>C11/D11</f>
        <v>0.4444444444444444</v>
      </c>
      <c r="C11" s="9">
        <v>4</v>
      </c>
      <c r="D11" s="9">
        <v>9</v>
      </c>
      <c r="E11" s="7" t="s">
        <v>174</v>
      </c>
      <c r="H11" s="9">
        <v>9</v>
      </c>
      <c r="I11" s="9">
        <v>9</v>
      </c>
      <c r="J11" s="7" t="s">
        <v>174</v>
      </c>
      <c r="L11" s="10" t="str">
        <f>M11/N11</f>
        <v>0</v>
      </c>
      <c r="M11" s="9">
        <v>0</v>
      </c>
      <c r="N11" s="9">
        <v>4</v>
      </c>
      <c r="O11" s="10" t="str">
        <f>P11/Q11</f>
        <v>0</v>
      </c>
      <c r="P11" s="9">
        <v>0</v>
      </c>
      <c r="Q11" s="9">
        <v>1</v>
      </c>
      <c r="R11" s="9">
        <v>4</v>
      </c>
      <c r="S11" s="9">
        <v>4</v>
      </c>
      <c r="T11" s="9">
        <v>1</v>
      </c>
      <c r="U11" s="9">
        <v>1</v>
      </c>
      <c r="V11" s="10" t="str">
        <f>W11/X11</f>
        <v>0</v>
      </c>
      <c r="W11" s="9">
        <v>0</v>
      </c>
      <c r="X11" s="9">
        <v>2</v>
      </c>
      <c r="Y11" s="7" t="s">
        <v>174</v>
      </c>
      <c r="AB11" s="9">
        <v>2</v>
      </c>
      <c r="AC11" s="9">
        <v>2</v>
      </c>
      <c r="AD11" s="7" t="s">
        <v>174</v>
      </c>
      <c r="AF11" s="10" t="str">
        <f>AG11/AH11</f>
        <v>0.5</v>
      </c>
      <c r="AG11" s="9">
        <v>1</v>
      </c>
      <c r="AH11" s="9">
        <v>2</v>
      </c>
      <c r="AI11" s="7" t="s">
        <v>174</v>
      </c>
      <c r="AL11" s="9">
        <v>2</v>
      </c>
      <c r="AM11" s="9">
        <v>2</v>
      </c>
      <c r="AN11" s="7" t="s">
        <v>174</v>
      </c>
      <c r="AP11" s="10" t="str">
        <f>AQ11/AR11</f>
        <v>0.4</v>
      </c>
      <c r="AQ11" s="9">
        <v>2</v>
      </c>
      <c r="AR11" s="9">
        <v>5</v>
      </c>
      <c r="AS11" s="10" t="str">
        <f>AT11/AU11</f>
        <v>0.5</v>
      </c>
      <c r="AT11" s="9">
        <v>1</v>
      </c>
      <c r="AU11" s="9">
        <v>2</v>
      </c>
      <c r="AV11" s="9">
        <v>5</v>
      </c>
      <c r="AW11" s="9">
        <v>5</v>
      </c>
      <c r="AX11" s="9">
        <v>2</v>
      </c>
      <c r="AY11" s="9">
        <v>2</v>
      </c>
      <c r="AZ11" s="10" t="str">
        <f>BA11/BB11</f>
        <v>0.25</v>
      </c>
      <c r="BA11" s="9">
        <v>1</v>
      </c>
      <c r="BB11" s="9">
        <v>4</v>
      </c>
      <c r="BC11" s="7" t="s">
        <v>174</v>
      </c>
      <c r="BF11" s="9">
        <v>4</v>
      </c>
      <c r="BG11" s="9">
        <v>4</v>
      </c>
      <c r="BH11" s="7" t="s">
        <v>174</v>
      </c>
      <c r="BJ11" s="10" t="str">
        <f>BK11/BL11</f>
        <v>0</v>
      </c>
      <c r="BK11" s="9">
        <v>0</v>
      </c>
      <c r="BL11" s="9">
        <v>3</v>
      </c>
      <c r="BM11" s="10" t="str">
        <f>BN11/BO11</f>
        <v>0</v>
      </c>
      <c r="BN11" s="9">
        <v>0</v>
      </c>
      <c r="BO11" s="9">
        <v>2</v>
      </c>
      <c r="BP11" s="9">
        <v>3</v>
      </c>
      <c r="BQ11" s="9">
        <v>3</v>
      </c>
      <c r="BR11" s="9">
        <v>2</v>
      </c>
      <c r="BS11" s="9">
        <v>2</v>
      </c>
      <c r="BT11" s="10" t="str">
        <f>BU11/BV11</f>
        <v>0</v>
      </c>
      <c r="BU11" s="9">
        <v>0</v>
      </c>
      <c r="BV11" s="9">
        <v>4</v>
      </c>
      <c r="BW11" s="7" t="s">
        <v>174</v>
      </c>
      <c r="BZ11" s="9">
        <v>4</v>
      </c>
      <c r="CA11" s="9">
        <v>4</v>
      </c>
      <c r="CB11" s="7" t="s">
        <v>174</v>
      </c>
      <c r="CD11" s="10" t="str">
        <f>CE11/CF11</f>
        <v>0.2</v>
      </c>
      <c r="CE11" s="9">
        <v>1</v>
      </c>
      <c r="CF11" s="9">
        <v>5</v>
      </c>
      <c r="CG11" s="10" t="str">
        <f>CH11/CI11</f>
        <v>0</v>
      </c>
      <c r="CH11" s="9">
        <v>0</v>
      </c>
      <c r="CI11" s="9">
        <v>1</v>
      </c>
      <c r="CJ11" s="9">
        <v>5</v>
      </c>
      <c r="CK11" s="9">
        <v>5</v>
      </c>
      <c r="CL11" s="9">
        <v>1</v>
      </c>
      <c r="CM11" s="9">
        <v>1</v>
      </c>
      <c r="CN11" s="10" t="str">
        <f>CO11/CP11</f>
        <v>0</v>
      </c>
      <c r="CO11" s="9">
        <v>0</v>
      </c>
      <c r="CP11" s="9">
        <v>1</v>
      </c>
      <c r="CQ11" s="10" t="str">
        <f>CR11/CS11</f>
        <v>0</v>
      </c>
      <c r="CR11" s="9">
        <v>0</v>
      </c>
      <c r="CS11" s="9">
        <v>1</v>
      </c>
      <c r="CT11" s="9">
        <v>1</v>
      </c>
      <c r="CU11" s="9">
        <v>1</v>
      </c>
      <c r="CV11" s="9">
        <v>1</v>
      </c>
      <c r="CW11" s="9">
        <v>1</v>
      </c>
      <c r="CX11" s="10" t="str">
        <f>CY11/CZ11</f>
        <v>0</v>
      </c>
      <c r="CY11" s="9">
        <v>0</v>
      </c>
      <c r="CZ11" s="9">
        <v>2</v>
      </c>
      <c r="DA11" s="7" t="s">
        <v>174</v>
      </c>
      <c r="DD11" s="9">
        <v>2</v>
      </c>
      <c r="DE11" s="9">
        <v>2</v>
      </c>
      <c r="DF11" s="7" t="s">
        <v>174</v>
      </c>
      <c r="DH11" s="10" t="str">
        <f>DI11/DJ11</f>
        <v>0</v>
      </c>
      <c r="DI11" s="9">
        <v>0</v>
      </c>
      <c r="DJ11" s="9">
        <v>1</v>
      </c>
      <c r="DK11" s="7" t="s">
        <v>174</v>
      </c>
      <c r="DN11" s="9">
        <v>1</v>
      </c>
      <c r="DO11" s="9">
        <v>1</v>
      </c>
      <c r="DP11" s="7" t="s">
        <v>174</v>
      </c>
      <c r="DR11" s="10" t="str">
        <f>DS11/DT11</f>
        <v>0.6666666666666666</v>
      </c>
      <c r="DS11" s="9">
        <v>2</v>
      </c>
      <c r="DT11" s="9">
        <v>3</v>
      </c>
      <c r="DU11" s="10" t="str">
        <f>DV11/DW11</f>
        <v>1</v>
      </c>
      <c r="DV11" s="9">
        <v>1</v>
      </c>
      <c r="DW11" s="9">
        <v>1</v>
      </c>
      <c r="DX11" s="9">
        <v>3</v>
      </c>
      <c r="DY11" s="9">
        <v>3</v>
      </c>
      <c r="DZ11" s="9">
        <v>1</v>
      </c>
      <c r="EA11" s="9">
        <v>1</v>
      </c>
      <c r="EB11" s="10" t="str">
        <f>EC11/ED11</f>
        <v>0.3333333333333333</v>
      </c>
      <c r="EC11" s="9">
        <v>2</v>
      </c>
      <c r="ED11" s="9">
        <v>6</v>
      </c>
      <c r="EE11" s="10" t="str">
        <f>EF11/EG11</f>
        <v>0</v>
      </c>
      <c r="EF11" s="9">
        <v>0</v>
      </c>
      <c r="EG11" s="9">
        <v>2</v>
      </c>
      <c r="EH11" s="9">
        <v>6</v>
      </c>
      <c r="EI11" s="9">
        <v>6</v>
      </c>
      <c r="EJ11" s="9">
        <v>2</v>
      </c>
      <c r="EK11" s="9">
        <v>2</v>
      </c>
      <c r="EL11" s="10" t="str">
        <f>EM11/EN11</f>
        <v>0.2549019607843137</v>
      </c>
      <c r="EM11" s="9">
        <v>13</v>
      </c>
      <c r="EN11" s="9">
        <v>51</v>
      </c>
      <c r="EO11" s="10" t="str">
        <f>EP11/EQ11</f>
        <v>0.2</v>
      </c>
      <c r="EP11" s="9">
        <v>2</v>
      </c>
      <c r="EQ11" s="9">
        <v>10</v>
      </c>
      <c r="ER11" s="9">
        <v>51</v>
      </c>
      <c r="ES11" s="9">
        <v>51</v>
      </c>
      <c r="ET11" s="9">
        <v>10</v>
      </c>
      <c r="EU11" s="9">
        <v>10</v>
      </c>
    </row>
    <row r="12">
      <c r="A12" s="5" t="s">
        <v>178</v>
      </c>
      <c r="B12" s="10" t="str">
        <f>C12/D12</f>
        <v>0.2857142857142857</v>
      </c>
      <c r="C12" s="9">
        <v>2</v>
      </c>
      <c r="D12" s="9">
        <v>7</v>
      </c>
      <c r="E12" s="7" t="s">
        <v>174</v>
      </c>
      <c r="H12" s="9">
        <v>7</v>
      </c>
      <c r="I12" s="9">
        <v>7</v>
      </c>
      <c r="J12" s="7" t="s">
        <v>174</v>
      </c>
      <c r="L12" s="10" t="str">
        <f>M12/N12</f>
        <v>0</v>
      </c>
      <c r="M12" s="9">
        <v>0</v>
      </c>
      <c r="N12" s="9">
        <v>1</v>
      </c>
      <c r="O12" s="7" t="s">
        <v>174</v>
      </c>
      <c r="R12" s="9">
        <v>1</v>
      </c>
      <c r="S12" s="9">
        <v>1</v>
      </c>
      <c r="T12" s="7" t="s">
        <v>174</v>
      </c>
      <c r="V12" s="10" t="str">
        <f>W12/X12</f>
        <v>0</v>
      </c>
      <c r="W12" s="9">
        <v>0</v>
      </c>
      <c r="X12" s="9">
        <v>1</v>
      </c>
      <c r="Y12" s="7" t="s">
        <v>174</v>
      </c>
      <c r="AB12" s="9">
        <v>1</v>
      </c>
      <c r="AC12" s="9">
        <v>1</v>
      </c>
      <c r="AD12" s="7" t="s">
        <v>174</v>
      </c>
      <c r="AF12" s="10" t="str">
        <f>AG12/AH12</f>
        <v>0</v>
      </c>
      <c r="AG12" s="9">
        <v>0</v>
      </c>
      <c r="AH12" s="9">
        <v>3</v>
      </c>
      <c r="AI12" s="7" t="s">
        <v>174</v>
      </c>
      <c r="AL12" s="9">
        <v>3</v>
      </c>
      <c r="AM12" s="9">
        <v>3</v>
      </c>
      <c r="AN12" s="7" t="s">
        <v>174</v>
      </c>
      <c r="AP12" s="10" t="str">
        <f>AQ12/AR12</f>
        <v>0</v>
      </c>
      <c r="AQ12" s="9">
        <v>0</v>
      </c>
      <c r="AR12" s="9">
        <v>1</v>
      </c>
      <c r="AS12" s="7" t="s">
        <v>174</v>
      </c>
      <c r="AV12" s="9">
        <v>1</v>
      </c>
      <c r="AW12" s="9">
        <v>1</v>
      </c>
      <c r="AX12" s="7" t="s">
        <v>174</v>
      </c>
      <c r="AZ12" s="7" t="s">
        <v>174</v>
      </c>
      <c r="BC12" s="7" t="s">
        <v>174</v>
      </c>
      <c r="BF12" s="7" t="s">
        <v>174</v>
      </c>
      <c r="BH12" s="7" t="s">
        <v>174</v>
      </c>
      <c r="BJ12" s="10" t="str">
        <f>BK12/BL12</f>
        <v>0.3333333333333333</v>
      </c>
      <c r="BK12" s="9">
        <v>1</v>
      </c>
      <c r="BL12" s="9">
        <v>3</v>
      </c>
      <c r="BM12" s="7" t="s">
        <v>174</v>
      </c>
      <c r="BP12" s="9">
        <v>3</v>
      </c>
      <c r="BQ12" s="9">
        <v>3</v>
      </c>
      <c r="BR12" s="7" t="s">
        <v>174</v>
      </c>
      <c r="BT12" s="10" t="str">
        <f>BU12/BV12</f>
        <v>1</v>
      </c>
      <c r="BU12" s="9">
        <v>1</v>
      </c>
      <c r="BV12" s="9">
        <v>1</v>
      </c>
      <c r="BW12" s="7" t="s">
        <v>174</v>
      </c>
      <c r="BZ12" s="9">
        <v>1</v>
      </c>
      <c r="CA12" s="9">
        <v>1</v>
      </c>
      <c r="CB12" s="7" t="s">
        <v>174</v>
      </c>
      <c r="CD12" s="10" t="str">
        <f>CE12/CF12</f>
        <v>0.5</v>
      </c>
      <c r="CE12" s="9">
        <v>1</v>
      </c>
      <c r="CF12" s="9">
        <v>2</v>
      </c>
      <c r="CG12" s="7" t="s">
        <v>174</v>
      </c>
      <c r="CJ12" s="9">
        <v>2</v>
      </c>
      <c r="CK12" s="9">
        <v>2</v>
      </c>
      <c r="CL12" s="7" t="s">
        <v>174</v>
      </c>
      <c r="CN12" s="10" t="str">
        <f>CO12/CP12</f>
        <v>0.5</v>
      </c>
      <c r="CO12" s="9">
        <v>1</v>
      </c>
      <c r="CP12" s="9">
        <v>2</v>
      </c>
      <c r="CQ12" s="7" t="s">
        <v>174</v>
      </c>
      <c r="CT12" s="9">
        <v>2</v>
      </c>
      <c r="CU12" s="9">
        <v>2</v>
      </c>
      <c r="CV12" s="7" t="s">
        <v>174</v>
      </c>
      <c r="CX12" s="10" t="str">
        <f>CY12/CZ12</f>
        <v>0.5</v>
      </c>
      <c r="CY12" s="9">
        <v>1</v>
      </c>
      <c r="CZ12" s="9">
        <v>2</v>
      </c>
      <c r="DA12" s="7" t="s">
        <v>174</v>
      </c>
      <c r="DD12" s="9">
        <v>2</v>
      </c>
      <c r="DE12" s="9">
        <v>2</v>
      </c>
      <c r="DF12" s="7" t="s">
        <v>174</v>
      </c>
      <c r="DH12" s="7" t="s">
        <v>174</v>
      </c>
      <c r="DK12" s="7" t="s">
        <v>174</v>
      </c>
      <c r="DN12" s="7" t="s">
        <v>174</v>
      </c>
      <c r="DP12" s="7" t="s">
        <v>174</v>
      </c>
      <c r="DR12" s="7" t="s">
        <v>174</v>
      </c>
      <c r="DU12" s="7" t="s">
        <v>174</v>
      </c>
      <c r="DX12" s="7" t="s">
        <v>174</v>
      </c>
      <c r="DZ12" s="7" t="s">
        <v>174</v>
      </c>
      <c r="EB12" s="10" t="str">
        <f>EC12/ED12</f>
        <v>0</v>
      </c>
      <c r="EC12" s="9">
        <v>0</v>
      </c>
      <c r="ED12" s="9">
        <v>4</v>
      </c>
      <c r="EE12" s="7" t="s">
        <v>174</v>
      </c>
      <c r="EH12" s="9">
        <v>4</v>
      </c>
      <c r="EI12" s="9">
        <v>4</v>
      </c>
      <c r="EJ12" s="7" t="s">
        <v>174</v>
      </c>
      <c r="EL12" s="10" t="str">
        <f>EM12/EN12</f>
        <v>0.25925925925925924</v>
      </c>
      <c r="EM12" s="9">
        <v>7</v>
      </c>
      <c r="EN12" s="9">
        <v>27</v>
      </c>
      <c r="EO12" s="7" t="s">
        <v>174</v>
      </c>
      <c r="ER12" s="9">
        <v>27</v>
      </c>
      <c r="ES12" s="9">
        <v>27</v>
      </c>
      <c r="ET12" s="7" t="s">
        <v>174</v>
      </c>
    </row>
    <row r="13">
      <c r="A13" s="5" t="s">
        <v>179</v>
      </c>
      <c r="B13" s="10" t="str">
        <f>C13/D13</f>
        <v>0.3333333333333333</v>
      </c>
      <c r="C13" s="9">
        <v>1</v>
      </c>
      <c r="D13" s="9">
        <v>3</v>
      </c>
      <c r="E13" s="7" t="s">
        <v>174</v>
      </c>
      <c r="H13" s="9">
        <v>3</v>
      </c>
      <c r="I13" s="9">
        <v>3</v>
      </c>
      <c r="J13" s="7" t="s">
        <v>174</v>
      </c>
      <c r="L13" s="10" t="str">
        <f>M13/N13</f>
        <v>1</v>
      </c>
      <c r="M13" s="9">
        <v>2</v>
      </c>
      <c r="N13" s="9">
        <v>2</v>
      </c>
      <c r="O13" s="7" t="s">
        <v>174</v>
      </c>
      <c r="R13" s="9">
        <v>2</v>
      </c>
      <c r="S13" s="9">
        <v>2</v>
      </c>
      <c r="T13" s="7" t="s">
        <v>174</v>
      </c>
      <c r="V13" s="10" t="str">
        <f>W13/X13</f>
        <v>0.5</v>
      </c>
      <c r="W13" s="9">
        <v>1</v>
      </c>
      <c r="X13" s="9">
        <v>2</v>
      </c>
      <c r="Y13" s="7" t="s">
        <v>174</v>
      </c>
      <c r="AB13" s="9">
        <v>2</v>
      </c>
      <c r="AC13" s="9">
        <v>2</v>
      </c>
      <c r="AD13" s="7" t="s">
        <v>174</v>
      </c>
      <c r="AF13" s="10" t="str">
        <f>AG13/AH13</f>
        <v>1</v>
      </c>
      <c r="AG13" s="9">
        <v>1</v>
      </c>
      <c r="AH13" s="9">
        <v>1</v>
      </c>
      <c r="AI13" s="7" t="s">
        <v>174</v>
      </c>
      <c r="AL13" s="9">
        <v>1</v>
      </c>
      <c r="AM13" s="9">
        <v>1</v>
      </c>
      <c r="AN13" s="7" t="s">
        <v>174</v>
      </c>
      <c r="AP13" s="7" t="s">
        <v>174</v>
      </c>
      <c r="AS13" s="7" t="s">
        <v>174</v>
      </c>
      <c r="AV13" s="7" t="s">
        <v>174</v>
      </c>
      <c r="AX13" s="7" t="s">
        <v>174</v>
      </c>
      <c r="AZ13" s="10" t="str">
        <f>BA13/BB13</f>
        <v>0</v>
      </c>
      <c r="BA13" s="9">
        <v>0</v>
      </c>
      <c r="BB13" s="9">
        <v>2</v>
      </c>
      <c r="BC13" s="7" t="s">
        <v>174</v>
      </c>
      <c r="BF13" s="9">
        <v>2</v>
      </c>
      <c r="BG13" s="9">
        <v>2</v>
      </c>
      <c r="BH13" s="7" t="s">
        <v>174</v>
      </c>
      <c r="BJ13" s="7" t="s">
        <v>174</v>
      </c>
      <c r="BM13" s="7" t="s">
        <v>174</v>
      </c>
      <c r="BP13" s="7" t="s">
        <v>174</v>
      </c>
      <c r="BR13" s="7" t="s">
        <v>174</v>
      </c>
      <c r="BT13" s="10" t="str">
        <f>BU13/BV13</f>
        <v>0.3333333333333333</v>
      </c>
      <c r="BU13" s="9">
        <v>1</v>
      </c>
      <c r="BV13" s="9">
        <v>3</v>
      </c>
      <c r="BW13" s="7" t="s">
        <v>174</v>
      </c>
      <c r="BZ13" s="9">
        <v>3</v>
      </c>
      <c r="CA13" s="9">
        <v>3</v>
      </c>
      <c r="CB13" s="7" t="s">
        <v>174</v>
      </c>
      <c r="CD13" s="7" t="s">
        <v>174</v>
      </c>
      <c r="CG13" s="7" t="s">
        <v>174</v>
      </c>
      <c r="CJ13" s="7" t="s">
        <v>174</v>
      </c>
      <c r="CL13" s="7" t="s">
        <v>174</v>
      </c>
      <c r="CN13" s="10" t="str">
        <f>CO13/CP13</f>
        <v>0</v>
      </c>
      <c r="CO13" s="9">
        <v>0</v>
      </c>
      <c r="CP13" s="9">
        <v>1</v>
      </c>
      <c r="CQ13" s="7" t="s">
        <v>174</v>
      </c>
      <c r="CT13" s="9">
        <v>1</v>
      </c>
      <c r="CU13" s="9">
        <v>1</v>
      </c>
      <c r="CV13" s="7" t="s">
        <v>174</v>
      </c>
      <c r="CX13" s="7" t="s">
        <v>174</v>
      </c>
      <c r="DA13" s="7" t="s">
        <v>174</v>
      </c>
      <c r="DD13" s="7" t="s">
        <v>174</v>
      </c>
      <c r="DF13" s="7" t="s">
        <v>174</v>
      </c>
      <c r="DH13" s="7" t="s">
        <v>174</v>
      </c>
      <c r="DK13" s="7" t="s">
        <v>174</v>
      </c>
      <c r="DN13" s="7" t="s">
        <v>174</v>
      </c>
      <c r="DP13" s="7" t="s">
        <v>174</v>
      </c>
      <c r="DR13" s="7" t="s">
        <v>174</v>
      </c>
      <c r="DU13" s="7" t="s">
        <v>174</v>
      </c>
      <c r="DX13" s="7" t="s">
        <v>174</v>
      </c>
      <c r="DZ13" s="7" t="s">
        <v>174</v>
      </c>
      <c r="EB13" s="10" t="str">
        <f>EC13/ED13</f>
        <v>0.16666666666666666</v>
      </c>
      <c r="EC13" s="9">
        <v>1</v>
      </c>
      <c r="ED13" s="9">
        <v>6</v>
      </c>
      <c r="EE13" s="7" t="s">
        <v>174</v>
      </c>
      <c r="EH13" s="9">
        <v>6</v>
      </c>
      <c r="EI13" s="9">
        <v>6</v>
      </c>
      <c r="EJ13" s="7" t="s">
        <v>174</v>
      </c>
      <c r="EL13" s="10" t="str">
        <f>EM13/EN13</f>
        <v>0.35</v>
      </c>
      <c r="EM13" s="9">
        <v>7</v>
      </c>
      <c r="EN13" s="9">
        <v>20</v>
      </c>
      <c r="EO13" s="7" t="s">
        <v>174</v>
      </c>
      <c r="ER13" s="9">
        <v>20</v>
      </c>
      <c r="ES13" s="9">
        <v>20</v>
      </c>
      <c r="ET13" s="7" t="s">
        <v>174</v>
      </c>
    </row>
    <row r="14">
      <c r="A14" s="5" t="s">
        <v>180</v>
      </c>
      <c r="B14" s="10" t="str">
        <f>C14/D14</f>
        <v>0</v>
      </c>
      <c r="C14" s="9">
        <v>0</v>
      </c>
      <c r="D14" s="9">
        <v>2</v>
      </c>
      <c r="E14" s="7" t="s">
        <v>174</v>
      </c>
      <c r="H14" s="9">
        <v>2</v>
      </c>
      <c r="I14" s="9">
        <v>2</v>
      </c>
      <c r="J14" s="7" t="s">
        <v>174</v>
      </c>
      <c r="L14" s="10" t="str">
        <f>M14/N14</f>
        <v>0.3333333333333333</v>
      </c>
      <c r="M14" s="9">
        <v>1</v>
      </c>
      <c r="N14" s="9">
        <v>3</v>
      </c>
      <c r="O14" s="7" t="s">
        <v>174</v>
      </c>
      <c r="R14" s="9">
        <v>3</v>
      </c>
      <c r="S14" s="9">
        <v>3</v>
      </c>
      <c r="T14" s="7" t="s">
        <v>174</v>
      </c>
      <c r="V14" s="10" t="str">
        <f>W14/X14</f>
        <v>0</v>
      </c>
      <c r="W14" s="9">
        <v>0</v>
      </c>
      <c r="X14" s="9">
        <v>1</v>
      </c>
      <c r="Y14" s="7" t="s">
        <v>174</v>
      </c>
      <c r="AB14" s="9">
        <v>1</v>
      </c>
      <c r="AC14" s="9">
        <v>1</v>
      </c>
      <c r="AD14" s="7" t="s">
        <v>174</v>
      </c>
      <c r="AF14" s="10" t="str">
        <f>AG14/AH14</f>
        <v>0</v>
      </c>
      <c r="AG14" s="9">
        <v>0</v>
      </c>
      <c r="AH14" s="9">
        <v>2</v>
      </c>
      <c r="AI14" s="7" t="s">
        <v>174</v>
      </c>
      <c r="AL14" s="9">
        <v>2</v>
      </c>
      <c r="AM14" s="9">
        <v>2</v>
      </c>
      <c r="AN14" s="7" t="s">
        <v>174</v>
      </c>
      <c r="AP14" s="7" t="s">
        <v>174</v>
      </c>
      <c r="AS14" s="7" t="s">
        <v>174</v>
      </c>
      <c r="AV14" s="7" t="s">
        <v>174</v>
      </c>
      <c r="AX14" s="7" t="s">
        <v>174</v>
      </c>
      <c r="AZ14" s="10" t="str">
        <f>BA14/BB14</f>
        <v>1</v>
      </c>
      <c r="BA14" s="9">
        <v>1</v>
      </c>
      <c r="BB14" s="9">
        <v>1</v>
      </c>
      <c r="BC14" s="7" t="s">
        <v>174</v>
      </c>
      <c r="BF14" s="9">
        <v>1</v>
      </c>
      <c r="BG14" s="9">
        <v>1</v>
      </c>
      <c r="BH14" s="7" t="s">
        <v>174</v>
      </c>
      <c r="BJ14" s="10" t="str">
        <f>BK14/BL14</f>
        <v>0</v>
      </c>
      <c r="BK14" s="9">
        <v>0</v>
      </c>
      <c r="BL14" s="9">
        <v>1</v>
      </c>
      <c r="BM14" s="7" t="s">
        <v>174</v>
      </c>
      <c r="BP14" s="9">
        <v>1</v>
      </c>
      <c r="BQ14" s="9">
        <v>1</v>
      </c>
      <c r="BR14" s="7" t="s">
        <v>174</v>
      </c>
      <c r="BT14" s="10" t="str">
        <f>BU14/BV14</f>
        <v>0</v>
      </c>
      <c r="BU14" s="9">
        <v>0</v>
      </c>
      <c r="BV14" s="9">
        <v>1</v>
      </c>
      <c r="BW14" s="7" t="s">
        <v>174</v>
      </c>
      <c r="BZ14" s="9">
        <v>1</v>
      </c>
      <c r="CA14" s="9">
        <v>1</v>
      </c>
      <c r="CB14" s="7" t="s">
        <v>174</v>
      </c>
      <c r="CD14" s="7" t="s">
        <v>174</v>
      </c>
      <c r="CG14" s="7" t="s">
        <v>174</v>
      </c>
      <c r="CJ14" s="7" t="s">
        <v>174</v>
      </c>
      <c r="CL14" s="7" t="s">
        <v>174</v>
      </c>
      <c r="CN14" s="10" t="str">
        <f>CO14/CP14</f>
        <v>0</v>
      </c>
      <c r="CO14" s="9">
        <v>0</v>
      </c>
      <c r="CP14" s="9">
        <v>1</v>
      </c>
      <c r="CQ14" s="7" t="s">
        <v>174</v>
      </c>
      <c r="CT14" s="9">
        <v>1</v>
      </c>
      <c r="CU14" s="9">
        <v>1</v>
      </c>
      <c r="CV14" s="7" t="s">
        <v>174</v>
      </c>
      <c r="CX14" s="10" t="str">
        <f>CY14/CZ14</f>
        <v>0</v>
      </c>
      <c r="CY14" s="9">
        <v>0</v>
      </c>
      <c r="CZ14" s="9">
        <v>1</v>
      </c>
      <c r="DA14" s="7" t="s">
        <v>174</v>
      </c>
      <c r="DD14" s="9">
        <v>1</v>
      </c>
      <c r="DE14" s="9">
        <v>1</v>
      </c>
      <c r="DF14" s="7" t="s">
        <v>174</v>
      </c>
      <c r="DH14" s="10" t="str">
        <f>DI14/DJ14</f>
        <v>0</v>
      </c>
      <c r="DI14" s="9">
        <v>0</v>
      </c>
      <c r="DJ14" s="9">
        <v>2</v>
      </c>
      <c r="DK14" s="7" t="s">
        <v>174</v>
      </c>
      <c r="DN14" s="9">
        <v>2</v>
      </c>
      <c r="DO14" s="9">
        <v>2</v>
      </c>
      <c r="DP14" s="7" t="s">
        <v>174</v>
      </c>
      <c r="DR14" s="7" t="s">
        <v>174</v>
      </c>
      <c r="DU14" s="7" t="s">
        <v>174</v>
      </c>
      <c r="DX14" s="7" t="s">
        <v>174</v>
      </c>
      <c r="DZ14" s="7" t="s">
        <v>174</v>
      </c>
      <c r="EB14" s="10" t="str">
        <f>EC14/ED14</f>
        <v>0.3333333333333333</v>
      </c>
      <c r="EC14" s="9">
        <v>1</v>
      </c>
      <c r="ED14" s="9">
        <v>3</v>
      </c>
      <c r="EE14" s="7" t="s">
        <v>174</v>
      </c>
      <c r="EH14" s="9">
        <v>3</v>
      </c>
      <c r="EI14" s="9">
        <v>3</v>
      </c>
      <c r="EJ14" s="7" t="s">
        <v>174</v>
      </c>
      <c r="EL14" s="10" t="str">
        <f>EM14/EN14</f>
        <v>0.16666666666666666</v>
      </c>
      <c r="EM14" s="9">
        <v>3</v>
      </c>
      <c r="EN14" s="9">
        <v>18</v>
      </c>
      <c r="EO14" s="7" t="s">
        <v>174</v>
      </c>
      <c r="ER14" s="9">
        <v>18</v>
      </c>
      <c r="ES14" s="9">
        <v>18</v>
      </c>
      <c r="ET14" s="7" t="s">
        <v>174</v>
      </c>
    </row>
    <row r="15">
      <c r="A15" s="5" t="s">
        <v>181</v>
      </c>
      <c r="B15" s="10" t="str">
        <f>C15/D15</f>
        <v>0.5</v>
      </c>
      <c r="C15" s="9">
        <v>1</v>
      </c>
      <c r="D15" s="9">
        <v>2</v>
      </c>
      <c r="E15" s="7" t="s">
        <v>174</v>
      </c>
      <c r="H15" s="9">
        <v>2</v>
      </c>
      <c r="I15" s="9">
        <v>2</v>
      </c>
      <c r="J15" s="7" t="s">
        <v>174</v>
      </c>
      <c r="L15" s="7" t="s">
        <v>174</v>
      </c>
      <c r="O15" s="7" t="s">
        <v>174</v>
      </c>
      <c r="R15" s="7" t="s">
        <v>174</v>
      </c>
      <c r="T15" s="7" t="s">
        <v>174</v>
      </c>
      <c r="V15" s="10" t="str">
        <f>W15/X15</f>
        <v>0</v>
      </c>
      <c r="W15" s="9">
        <v>0</v>
      </c>
      <c r="X15" s="9">
        <v>2</v>
      </c>
      <c r="Y15" s="7" t="s">
        <v>174</v>
      </c>
      <c r="AB15" s="9">
        <v>2</v>
      </c>
      <c r="AC15" s="9">
        <v>2</v>
      </c>
      <c r="AD15" s="7" t="s">
        <v>174</v>
      </c>
      <c r="AF15" s="10" t="str">
        <f>AG15/AH15</f>
        <v>0.6666666666666666</v>
      </c>
      <c r="AG15" s="9">
        <v>2</v>
      </c>
      <c r="AH15" s="9">
        <v>3</v>
      </c>
      <c r="AI15" s="7" t="s">
        <v>174</v>
      </c>
      <c r="AL15" s="9">
        <v>3</v>
      </c>
      <c r="AM15" s="9">
        <v>3</v>
      </c>
      <c r="AN15" s="7" t="s">
        <v>174</v>
      </c>
      <c r="AP15" s="7" t="s">
        <v>174</v>
      </c>
      <c r="AS15" s="7" t="s">
        <v>174</v>
      </c>
      <c r="AV15" s="7" t="s">
        <v>174</v>
      </c>
      <c r="AX15" s="7" t="s">
        <v>174</v>
      </c>
      <c r="AZ15" s="7" t="s">
        <v>174</v>
      </c>
      <c r="BC15" s="7" t="s">
        <v>174</v>
      </c>
      <c r="BF15" s="7" t="s">
        <v>174</v>
      </c>
      <c r="BH15" s="7" t="s">
        <v>174</v>
      </c>
      <c r="BJ15" s="10" t="str">
        <f>BK15/BL15</f>
        <v>0</v>
      </c>
      <c r="BK15" s="9">
        <v>0</v>
      </c>
      <c r="BL15" s="9">
        <v>1</v>
      </c>
      <c r="BM15" s="7" t="s">
        <v>174</v>
      </c>
      <c r="BP15" s="9">
        <v>1</v>
      </c>
      <c r="BQ15" s="9">
        <v>1</v>
      </c>
      <c r="BR15" s="7" t="s">
        <v>174</v>
      </c>
      <c r="BT15" s="7" t="s">
        <v>174</v>
      </c>
      <c r="BW15" s="7" t="s">
        <v>174</v>
      </c>
      <c r="BZ15" s="7" t="s">
        <v>174</v>
      </c>
      <c r="CB15" s="7" t="s">
        <v>174</v>
      </c>
      <c r="CD15" s="10" t="str">
        <f>CE15/CF15</f>
        <v>0</v>
      </c>
      <c r="CE15" s="9">
        <v>0</v>
      </c>
      <c r="CF15" s="9">
        <v>2</v>
      </c>
      <c r="CG15" s="7" t="s">
        <v>174</v>
      </c>
      <c r="CJ15" s="9">
        <v>2</v>
      </c>
      <c r="CK15" s="9">
        <v>2</v>
      </c>
      <c r="CL15" s="7" t="s">
        <v>174</v>
      </c>
      <c r="CN15" s="10" t="str">
        <f>CO15/CP15</f>
        <v>0</v>
      </c>
      <c r="CO15" s="9">
        <v>0</v>
      </c>
      <c r="CP15" s="9">
        <v>2</v>
      </c>
      <c r="CQ15" s="7" t="s">
        <v>174</v>
      </c>
      <c r="CT15" s="9">
        <v>2</v>
      </c>
      <c r="CU15" s="9">
        <v>2</v>
      </c>
      <c r="CV15" s="7" t="s">
        <v>174</v>
      </c>
      <c r="CX15" s="10" t="str">
        <f>CY15/CZ15</f>
        <v>1</v>
      </c>
      <c r="CY15" s="9">
        <v>1</v>
      </c>
      <c r="CZ15" s="9">
        <v>1</v>
      </c>
      <c r="DA15" s="7" t="s">
        <v>174</v>
      </c>
      <c r="DD15" s="9">
        <v>1</v>
      </c>
      <c r="DE15" s="9">
        <v>1</v>
      </c>
      <c r="DF15" s="7" t="s">
        <v>174</v>
      </c>
      <c r="DH15" s="10" t="str">
        <f>DI15/DJ15</f>
        <v>0</v>
      </c>
      <c r="DI15" s="9">
        <v>0</v>
      </c>
      <c r="DJ15" s="9">
        <v>1</v>
      </c>
      <c r="DK15" s="7" t="s">
        <v>174</v>
      </c>
      <c r="DN15" s="9">
        <v>1</v>
      </c>
      <c r="DO15" s="9">
        <v>1</v>
      </c>
      <c r="DP15" s="7" t="s">
        <v>174</v>
      </c>
      <c r="DR15" s="10" t="str">
        <f>DS15/DT15</f>
        <v>0.5</v>
      </c>
      <c r="DS15" s="9">
        <v>1</v>
      </c>
      <c r="DT15" s="9">
        <v>2</v>
      </c>
      <c r="DU15" s="7" t="s">
        <v>174</v>
      </c>
      <c r="DX15" s="9">
        <v>2</v>
      </c>
      <c r="DY15" s="9">
        <v>2</v>
      </c>
      <c r="DZ15" s="7" t="s">
        <v>174</v>
      </c>
      <c r="EB15" s="10" t="str">
        <f>EC15/ED15</f>
        <v>0</v>
      </c>
      <c r="EC15" s="9">
        <v>0</v>
      </c>
      <c r="ED15" s="9">
        <v>1</v>
      </c>
      <c r="EE15" s="7" t="s">
        <v>174</v>
      </c>
      <c r="EH15" s="9">
        <v>1</v>
      </c>
      <c r="EI15" s="9">
        <v>1</v>
      </c>
      <c r="EJ15" s="7" t="s">
        <v>174</v>
      </c>
      <c r="EL15" s="10" t="str">
        <f>EM15/EN15</f>
        <v>0.29411764705882354</v>
      </c>
      <c r="EM15" s="9">
        <v>5</v>
      </c>
      <c r="EN15" s="9">
        <v>17</v>
      </c>
      <c r="EO15" s="7" t="s">
        <v>174</v>
      </c>
      <c r="ER15" s="9">
        <v>17</v>
      </c>
      <c r="ES15" s="9">
        <v>17</v>
      </c>
      <c r="ET15" s="7" t="s">
        <v>174</v>
      </c>
    </row>
    <row r="16">
      <c r="A16" s="5" t="s">
        <v>182</v>
      </c>
      <c r="B16" s="10" t="str">
        <f>C16/D16</f>
        <v>1</v>
      </c>
      <c r="C16" s="9">
        <v>1</v>
      </c>
      <c r="D16" s="9">
        <v>1</v>
      </c>
      <c r="E16" s="10" t="str">
        <f>F16/G16</f>
        <v>1</v>
      </c>
      <c r="F16" s="9">
        <v>1</v>
      </c>
      <c r="G16" s="9">
        <v>1</v>
      </c>
      <c r="H16" s="9">
        <v>1</v>
      </c>
      <c r="I16" s="9">
        <v>1</v>
      </c>
      <c r="J16" s="9">
        <v>1</v>
      </c>
      <c r="K16" s="9">
        <v>1</v>
      </c>
      <c r="L16" s="10" t="str">
        <f>M16/N16</f>
        <v>0</v>
      </c>
      <c r="M16" s="9">
        <v>0</v>
      </c>
      <c r="N16" s="9">
        <v>2</v>
      </c>
      <c r="O16" s="7" t="s">
        <v>174</v>
      </c>
      <c r="R16" s="9">
        <v>2</v>
      </c>
      <c r="S16" s="9">
        <v>2</v>
      </c>
      <c r="T16" s="7" t="s">
        <v>174</v>
      </c>
      <c r="V16" s="10" t="str">
        <f>W16/X16</f>
        <v>0</v>
      </c>
      <c r="W16" s="9">
        <v>0</v>
      </c>
      <c r="X16" s="9">
        <v>1</v>
      </c>
      <c r="Y16" s="7" t="s">
        <v>174</v>
      </c>
      <c r="AB16" s="9">
        <v>1</v>
      </c>
      <c r="AC16" s="9">
        <v>1</v>
      </c>
      <c r="AD16" s="7" t="s">
        <v>174</v>
      </c>
      <c r="AF16" s="7" t="s">
        <v>174</v>
      </c>
      <c r="AI16" s="7" t="s">
        <v>174</v>
      </c>
      <c r="AL16" s="7" t="s">
        <v>174</v>
      </c>
      <c r="AN16" s="7" t="s">
        <v>174</v>
      </c>
      <c r="AP16" s="7" t="s">
        <v>174</v>
      </c>
      <c r="AS16" s="7" t="s">
        <v>174</v>
      </c>
      <c r="AV16" s="7" t="s">
        <v>174</v>
      </c>
      <c r="AX16" s="7" t="s">
        <v>174</v>
      </c>
      <c r="AZ16" s="10" t="str">
        <f>BA16/BB16</f>
        <v>1</v>
      </c>
      <c r="BA16" s="9">
        <v>1</v>
      </c>
      <c r="BB16" s="9">
        <v>1</v>
      </c>
      <c r="BC16" s="7" t="s">
        <v>174</v>
      </c>
      <c r="BF16" s="9">
        <v>1</v>
      </c>
      <c r="BG16" s="9">
        <v>1</v>
      </c>
      <c r="BH16" s="7" t="s">
        <v>174</v>
      </c>
      <c r="BJ16" s="10" t="str">
        <f>BK16/BL16</f>
        <v>0</v>
      </c>
      <c r="BK16" s="9">
        <v>0</v>
      </c>
      <c r="BL16" s="9">
        <v>1</v>
      </c>
      <c r="BM16" s="7" t="s">
        <v>174</v>
      </c>
      <c r="BP16" s="9">
        <v>1</v>
      </c>
      <c r="BQ16" s="9">
        <v>1</v>
      </c>
      <c r="BR16" s="7" t="s">
        <v>174</v>
      </c>
      <c r="BT16" s="10" t="str">
        <f>BU16/BV16</f>
        <v>0.6666666666666666</v>
      </c>
      <c r="BU16" s="9">
        <v>2</v>
      </c>
      <c r="BV16" s="9">
        <v>3</v>
      </c>
      <c r="BW16" s="7" t="s">
        <v>174</v>
      </c>
      <c r="BZ16" s="9">
        <v>3</v>
      </c>
      <c r="CA16" s="9">
        <v>3</v>
      </c>
      <c r="CB16" s="7" t="s">
        <v>174</v>
      </c>
      <c r="CD16" s="10" t="str">
        <f>CE16/CF16</f>
        <v>0</v>
      </c>
      <c r="CE16" s="9">
        <v>0</v>
      </c>
      <c r="CF16" s="9">
        <v>1</v>
      </c>
      <c r="CG16" s="7" t="s">
        <v>174</v>
      </c>
      <c r="CJ16" s="9">
        <v>1</v>
      </c>
      <c r="CK16" s="9">
        <v>1</v>
      </c>
      <c r="CL16" s="7" t="s">
        <v>174</v>
      </c>
      <c r="CN16" s="7" t="s">
        <v>174</v>
      </c>
      <c r="CQ16" s="7" t="s">
        <v>174</v>
      </c>
      <c r="CT16" s="7" t="s">
        <v>174</v>
      </c>
      <c r="CV16" s="7" t="s">
        <v>174</v>
      </c>
      <c r="CX16" s="10" t="str">
        <f>CY16/CZ16</f>
        <v>0</v>
      </c>
      <c r="CY16" s="9">
        <v>0</v>
      </c>
      <c r="CZ16" s="9">
        <v>1</v>
      </c>
      <c r="DA16" s="7" t="s">
        <v>174</v>
      </c>
      <c r="DD16" s="9">
        <v>1</v>
      </c>
      <c r="DE16" s="9">
        <v>1</v>
      </c>
      <c r="DF16" s="7" t="s">
        <v>174</v>
      </c>
      <c r="DH16" s="10" t="str">
        <f>DI16/DJ16</f>
        <v>0</v>
      </c>
      <c r="DI16" s="9">
        <v>0</v>
      </c>
      <c r="DJ16" s="9">
        <v>1</v>
      </c>
      <c r="DK16" s="7" t="s">
        <v>174</v>
      </c>
      <c r="DN16" s="9">
        <v>1</v>
      </c>
      <c r="DO16" s="9">
        <v>1</v>
      </c>
      <c r="DP16" s="7" t="s">
        <v>174</v>
      </c>
      <c r="DR16" s="10" t="str">
        <f>DS16/DT16</f>
        <v>0</v>
      </c>
      <c r="DS16" s="9">
        <v>0</v>
      </c>
      <c r="DT16" s="9">
        <v>1</v>
      </c>
      <c r="DU16" s="7" t="s">
        <v>174</v>
      </c>
      <c r="DX16" s="9">
        <v>1</v>
      </c>
      <c r="DY16" s="9">
        <v>1</v>
      </c>
      <c r="DZ16" s="7" t="s">
        <v>174</v>
      </c>
      <c r="EB16" s="10" t="str">
        <f>EC16/ED16</f>
        <v>0</v>
      </c>
      <c r="EC16" s="9">
        <v>0</v>
      </c>
      <c r="ED16" s="9">
        <v>1</v>
      </c>
      <c r="EE16" s="7" t="s">
        <v>174</v>
      </c>
      <c r="EH16" s="9">
        <v>1</v>
      </c>
      <c r="EI16" s="9">
        <v>1</v>
      </c>
      <c r="EJ16" s="7" t="s">
        <v>174</v>
      </c>
      <c r="EL16" s="10" t="str">
        <f>EM16/EN16</f>
        <v>0.2857142857142857</v>
      </c>
      <c r="EM16" s="9">
        <v>4</v>
      </c>
      <c r="EN16" s="9">
        <v>14</v>
      </c>
      <c r="EO16" s="10" t="str">
        <f>EP16/EQ16</f>
        <v>1</v>
      </c>
      <c r="EP16" s="9">
        <v>1</v>
      </c>
      <c r="EQ16" s="9">
        <v>1</v>
      </c>
      <c r="ER16" s="9">
        <v>14</v>
      </c>
      <c r="ES16" s="9">
        <v>14</v>
      </c>
      <c r="ET16" s="9">
        <v>1</v>
      </c>
      <c r="EU16" s="9">
        <v>1</v>
      </c>
    </row>
    <row r="17">
      <c r="A17" s="5" t="s">
        <v>183</v>
      </c>
      <c r="B17" s="10" t="str">
        <f>C17/D17</f>
        <v>1</v>
      </c>
      <c r="C17" s="9">
        <v>1</v>
      </c>
      <c r="D17" s="9">
        <v>1</v>
      </c>
      <c r="E17" s="7" t="s">
        <v>174</v>
      </c>
      <c r="H17" s="9">
        <v>1</v>
      </c>
      <c r="I17" s="9">
        <v>1</v>
      </c>
      <c r="J17" s="7" t="s">
        <v>174</v>
      </c>
      <c r="L17" s="10" t="str">
        <f>M17/N17</f>
        <v>0.5</v>
      </c>
      <c r="M17" s="9">
        <v>1</v>
      </c>
      <c r="N17" s="9">
        <v>2</v>
      </c>
      <c r="O17" s="7" t="s">
        <v>174</v>
      </c>
      <c r="R17" s="9">
        <v>2</v>
      </c>
      <c r="S17" s="9">
        <v>2</v>
      </c>
      <c r="T17" s="7" t="s">
        <v>174</v>
      </c>
      <c r="V17" s="10" t="str">
        <f>W17/X17</f>
        <v>0</v>
      </c>
      <c r="W17" s="9">
        <v>0</v>
      </c>
      <c r="X17" s="9">
        <v>2</v>
      </c>
      <c r="Y17" s="7" t="s">
        <v>174</v>
      </c>
      <c r="AB17" s="9">
        <v>2</v>
      </c>
      <c r="AC17" s="9">
        <v>2</v>
      </c>
      <c r="AD17" s="7" t="s">
        <v>174</v>
      </c>
      <c r="AF17" s="10" t="str">
        <f>AG17/AH17</f>
        <v>0</v>
      </c>
      <c r="AG17" s="9">
        <v>0</v>
      </c>
      <c r="AH17" s="9">
        <v>1</v>
      </c>
      <c r="AI17" s="7" t="s">
        <v>174</v>
      </c>
      <c r="AL17" s="9">
        <v>1</v>
      </c>
      <c r="AM17" s="9">
        <v>1</v>
      </c>
      <c r="AN17" s="7" t="s">
        <v>174</v>
      </c>
      <c r="AP17" s="10" t="str">
        <f>AQ17/AR17</f>
        <v>0</v>
      </c>
      <c r="AQ17" s="9">
        <v>0</v>
      </c>
      <c r="AR17" s="9">
        <v>1</v>
      </c>
      <c r="AS17" s="7" t="s">
        <v>174</v>
      </c>
      <c r="AV17" s="9">
        <v>1</v>
      </c>
      <c r="AW17" s="9">
        <v>1</v>
      </c>
      <c r="AX17" s="7" t="s">
        <v>174</v>
      </c>
      <c r="AZ17" s="7" t="s">
        <v>174</v>
      </c>
      <c r="BC17" s="7" t="s">
        <v>174</v>
      </c>
      <c r="BF17" s="7" t="s">
        <v>174</v>
      </c>
      <c r="BH17" s="7" t="s">
        <v>174</v>
      </c>
      <c r="BJ17" s="10" t="str">
        <f>BK17/BL17</f>
        <v>0</v>
      </c>
      <c r="BK17" s="9">
        <v>0</v>
      </c>
      <c r="BL17" s="9">
        <v>1</v>
      </c>
      <c r="BM17" s="7" t="s">
        <v>174</v>
      </c>
      <c r="BP17" s="9">
        <v>1</v>
      </c>
      <c r="BQ17" s="9">
        <v>1</v>
      </c>
      <c r="BR17" s="7" t="s">
        <v>174</v>
      </c>
      <c r="BT17" s="7" t="s">
        <v>174</v>
      </c>
      <c r="BW17" s="7" t="s">
        <v>174</v>
      </c>
      <c r="BZ17" s="7" t="s">
        <v>174</v>
      </c>
      <c r="CB17" s="7" t="s">
        <v>174</v>
      </c>
      <c r="CD17" s="10" t="str">
        <f>CE17/CF17</f>
        <v>0.5</v>
      </c>
      <c r="CE17" s="9">
        <v>1</v>
      </c>
      <c r="CF17" s="9">
        <v>2</v>
      </c>
      <c r="CG17" s="7" t="s">
        <v>174</v>
      </c>
      <c r="CJ17" s="9">
        <v>2</v>
      </c>
      <c r="CK17" s="9">
        <v>2</v>
      </c>
      <c r="CL17" s="7" t="s">
        <v>174</v>
      </c>
      <c r="CN17" s="10" t="str">
        <f>CO17/CP17</f>
        <v>0</v>
      </c>
      <c r="CO17" s="9">
        <v>0</v>
      </c>
      <c r="CP17" s="9">
        <v>2</v>
      </c>
      <c r="CQ17" s="7" t="s">
        <v>174</v>
      </c>
      <c r="CT17" s="9">
        <v>2</v>
      </c>
      <c r="CU17" s="9">
        <v>2</v>
      </c>
      <c r="CV17" s="7" t="s">
        <v>174</v>
      </c>
      <c r="CX17" s="7" t="s">
        <v>174</v>
      </c>
      <c r="DA17" s="7" t="s">
        <v>174</v>
      </c>
      <c r="DD17" s="7" t="s">
        <v>174</v>
      </c>
      <c r="DF17" s="7" t="s">
        <v>174</v>
      </c>
      <c r="DH17" s="7" t="s">
        <v>174</v>
      </c>
      <c r="DK17" s="7" t="s">
        <v>174</v>
      </c>
      <c r="DN17" s="7" t="s">
        <v>174</v>
      </c>
      <c r="DP17" s="7" t="s">
        <v>174</v>
      </c>
      <c r="DR17" s="7" t="s">
        <v>174</v>
      </c>
      <c r="DU17" s="7" t="s">
        <v>174</v>
      </c>
      <c r="DX17" s="7" t="s">
        <v>174</v>
      </c>
      <c r="DZ17" s="7" t="s">
        <v>174</v>
      </c>
      <c r="EB17" s="10" t="str">
        <f>EC17/ED17</f>
        <v>0.5</v>
      </c>
      <c r="EC17" s="9">
        <v>1</v>
      </c>
      <c r="ED17" s="9">
        <v>2</v>
      </c>
      <c r="EE17" s="7" t="s">
        <v>174</v>
      </c>
      <c r="EH17" s="9">
        <v>2</v>
      </c>
      <c r="EI17" s="9">
        <v>2</v>
      </c>
      <c r="EJ17" s="7" t="s">
        <v>174</v>
      </c>
      <c r="EL17" s="10" t="str">
        <f>EM17/EN17</f>
        <v>0.2857142857142857</v>
      </c>
      <c r="EM17" s="9">
        <v>4</v>
      </c>
      <c r="EN17" s="9">
        <v>14</v>
      </c>
      <c r="EO17" s="7" t="s">
        <v>174</v>
      </c>
      <c r="ER17" s="9">
        <v>14</v>
      </c>
      <c r="ES17" s="9">
        <v>14</v>
      </c>
      <c r="ET17" s="7" t="s">
        <v>174</v>
      </c>
    </row>
    <row r="18">
      <c r="A18" s="6" t="s">
        <v>184</v>
      </c>
      <c r="B18" s="17" t="str">
        <f>C18/D18</f>
        <v>0.3375796178343949</v>
      </c>
      <c r="C18" s="16">
        <v>53</v>
      </c>
      <c r="D18" s="16">
        <v>157</v>
      </c>
      <c r="E18" s="17" t="str">
        <f>F18/G18</f>
        <v>0.3333333333333333</v>
      </c>
      <c r="F18" s="16">
        <v>1</v>
      </c>
      <c r="G18" s="16">
        <v>3</v>
      </c>
      <c r="H18" s="16">
        <v>157</v>
      </c>
      <c r="I18" s="16">
        <v>157</v>
      </c>
      <c r="J18" s="16">
        <v>3</v>
      </c>
      <c r="K18" s="16">
        <v>3</v>
      </c>
      <c r="L18" s="17" t="str">
        <f>M18/N18</f>
        <v>0.45454545454545453</v>
      </c>
      <c r="M18" s="16">
        <v>15</v>
      </c>
      <c r="N18" s="16">
        <v>33</v>
      </c>
      <c r="O18" s="17" t="str">
        <f>P18/Q18</f>
        <v>0.5</v>
      </c>
      <c r="P18" s="16">
        <v>1</v>
      </c>
      <c r="Q18" s="16">
        <v>2</v>
      </c>
      <c r="R18" s="16">
        <v>33</v>
      </c>
      <c r="S18" s="16">
        <v>33</v>
      </c>
      <c r="T18" s="16">
        <v>2</v>
      </c>
      <c r="U18" s="16">
        <v>2</v>
      </c>
      <c r="V18" s="17" t="str">
        <f>W18/X18</f>
        <v>0.21739130434782608</v>
      </c>
      <c r="W18" s="16">
        <v>5</v>
      </c>
      <c r="X18" s="16">
        <v>23</v>
      </c>
      <c r="Y18" s="17" t="str">
        <f>Z18/AA18</f>
        <v>0.3333333333333333</v>
      </c>
      <c r="Z18" s="16">
        <v>1</v>
      </c>
      <c r="AA18" s="16">
        <v>3</v>
      </c>
      <c r="AB18" s="16">
        <v>23</v>
      </c>
      <c r="AC18" s="16">
        <v>23</v>
      </c>
      <c r="AD18" s="16">
        <v>3</v>
      </c>
      <c r="AE18" s="16">
        <v>3</v>
      </c>
      <c r="AF18" s="17" t="str">
        <f>AG18/AH18</f>
        <v>0.2727272727272727</v>
      </c>
      <c r="AG18" s="16">
        <v>6</v>
      </c>
      <c r="AH18" s="16">
        <v>22</v>
      </c>
      <c r="AI18" s="17" t="str">
        <f>AJ18/AK18</f>
        <v>0.5</v>
      </c>
      <c r="AJ18" s="16">
        <v>1</v>
      </c>
      <c r="AK18" s="16">
        <v>2</v>
      </c>
      <c r="AL18" s="16">
        <v>22</v>
      </c>
      <c r="AM18" s="16">
        <v>22</v>
      </c>
      <c r="AN18" s="16">
        <v>2</v>
      </c>
      <c r="AO18" s="16">
        <v>2</v>
      </c>
      <c r="AP18" s="17" t="str">
        <f>AQ18/AR18</f>
        <v>0.3333333333333333</v>
      </c>
      <c r="AQ18" s="16">
        <v>6</v>
      </c>
      <c r="AR18" s="16">
        <v>18</v>
      </c>
      <c r="AS18" s="17" t="str">
        <f>AT18/AU18</f>
        <v>0.5</v>
      </c>
      <c r="AT18" s="16">
        <v>2</v>
      </c>
      <c r="AU18" s="16">
        <v>4</v>
      </c>
      <c r="AV18" s="16">
        <v>18</v>
      </c>
      <c r="AW18" s="16">
        <v>18</v>
      </c>
      <c r="AX18" s="16">
        <v>4</v>
      </c>
      <c r="AY18" s="16">
        <v>4</v>
      </c>
      <c r="AZ18" s="17" t="str">
        <f>BA18/BB18</f>
        <v>0.2777777777777778</v>
      </c>
      <c r="BA18" s="16">
        <v>5</v>
      </c>
      <c r="BB18" s="16">
        <v>18</v>
      </c>
      <c r="BC18" s="17" t="str">
        <f>BD18/BE18</f>
        <v>0</v>
      </c>
      <c r="BD18" s="16">
        <v>0</v>
      </c>
      <c r="BE18" s="16">
        <v>1</v>
      </c>
      <c r="BF18" s="16">
        <v>18</v>
      </c>
      <c r="BG18" s="16">
        <v>18</v>
      </c>
      <c r="BH18" s="16">
        <v>1</v>
      </c>
      <c r="BI18" s="16">
        <v>1</v>
      </c>
      <c r="BJ18" s="17" t="str">
        <f>BK18/BL18</f>
        <v>0.0625</v>
      </c>
      <c r="BK18" s="16">
        <v>1</v>
      </c>
      <c r="BL18" s="16">
        <v>16</v>
      </c>
      <c r="BM18" s="17" t="str">
        <f>BN18/BO18</f>
        <v>0</v>
      </c>
      <c r="BN18" s="16">
        <v>0</v>
      </c>
      <c r="BO18" s="16">
        <v>3</v>
      </c>
      <c r="BP18" s="16">
        <v>16</v>
      </c>
      <c r="BQ18" s="16">
        <v>16</v>
      </c>
      <c r="BR18" s="16">
        <v>3</v>
      </c>
      <c r="BS18" s="16">
        <v>3</v>
      </c>
      <c r="BT18" s="17" t="str">
        <f>BU18/BV18</f>
        <v>0.2777777777777778</v>
      </c>
      <c r="BU18" s="16">
        <v>5</v>
      </c>
      <c r="BV18" s="16">
        <v>18</v>
      </c>
      <c r="BW18" s="17" t="str">
        <f>BX18/BY18</f>
        <v>0</v>
      </c>
      <c r="BX18" s="16">
        <v>0</v>
      </c>
      <c r="BY18" s="16">
        <v>1</v>
      </c>
      <c r="BZ18" s="16">
        <v>18</v>
      </c>
      <c r="CA18" s="16">
        <v>18</v>
      </c>
      <c r="CB18" s="16">
        <v>1</v>
      </c>
      <c r="CC18" s="16">
        <v>1</v>
      </c>
      <c r="CD18" s="17" t="str">
        <f>CE18/CF18</f>
        <v>0.2</v>
      </c>
      <c r="CE18" s="16">
        <v>3</v>
      </c>
      <c r="CF18" s="16">
        <v>15</v>
      </c>
      <c r="CG18" s="17" t="str">
        <f>CH18/CI18</f>
        <v>0</v>
      </c>
      <c r="CH18" s="16">
        <v>0</v>
      </c>
      <c r="CI18" s="16">
        <v>3</v>
      </c>
      <c r="CJ18" s="16">
        <v>15</v>
      </c>
      <c r="CK18" s="16">
        <v>15</v>
      </c>
      <c r="CL18" s="16">
        <v>3</v>
      </c>
      <c r="CM18" s="16">
        <v>3</v>
      </c>
      <c r="CN18" s="17" t="str">
        <f>CO18/CP18</f>
        <v>0.21428571428571427</v>
      </c>
      <c r="CO18" s="16">
        <v>3</v>
      </c>
      <c r="CP18" s="16">
        <v>14</v>
      </c>
      <c r="CQ18" s="17" t="str">
        <f>CR18/CS18</f>
        <v>0</v>
      </c>
      <c r="CR18" s="16">
        <v>0</v>
      </c>
      <c r="CS18" s="16">
        <v>1</v>
      </c>
      <c r="CT18" s="16">
        <v>14</v>
      </c>
      <c r="CU18" s="16">
        <v>14</v>
      </c>
      <c r="CV18" s="16">
        <v>1</v>
      </c>
      <c r="CW18" s="16">
        <v>1</v>
      </c>
      <c r="CX18" s="17" t="str">
        <f>CY18/CZ18</f>
        <v>0.23076923076923078</v>
      </c>
      <c r="CY18" s="16">
        <v>3</v>
      </c>
      <c r="CZ18" s="16">
        <v>13</v>
      </c>
      <c r="DA18" s="17" t="str">
        <f>DB18/DC18</f>
        <v>0</v>
      </c>
      <c r="DB18" s="16">
        <v>0</v>
      </c>
      <c r="DC18" s="16">
        <v>1</v>
      </c>
      <c r="DD18" s="16">
        <v>13</v>
      </c>
      <c r="DE18" s="16">
        <v>13</v>
      </c>
      <c r="DF18" s="16">
        <v>1</v>
      </c>
      <c r="DG18" s="16">
        <v>1</v>
      </c>
      <c r="DH18" s="17" t="str">
        <f>DI18/DJ18</f>
        <v>0.2727272727272727</v>
      </c>
      <c r="DI18" s="16">
        <v>3</v>
      </c>
      <c r="DJ18" s="16">
        <v>11</v>
      </c>
      <c r="DK18" s="17" t="str">
        <f>DL18/DM18</f>
        <v>0.5</v>
      </c>
      <c r="DL18" s="16">
        <v>1</v>
      </c>
      <c r="DM18" s="16">
        <v>2</v>
      </c>
      <c r="DN18" s="16">
        <v>11</v>
      </c>
      <c r="DO18" s="16">
        <v>11</v>
      </c>
      <c r="DP18" s="16">
        <v>2</v>
      </c>
      <c r="DQ18" s="16">
        <v>2</v>
      </c>
      <c r="DR18" s="17" t="str">
        <f>DS18/DT18</f>
        <v>0.4</v>
      </c>
      <c r="DS18" s="16">
        <v>4</v>
      </c>
      <c r="DT18" s="16">
        <v>10</v>
      </c>
      <c r="DU18" s="17" t="str">
        <f>DV18/DW18</f>
        <v>1</v>
      </c>
      <c r="DV18" s="16">
        <v>2</v>
      </c>
      <c r="DW18" s="16">
        <v>2</v>
      </c>
      <c r="DX18" s="16">
        <v>10</v>
      </c>
      <c r="DY18" s="16">
        <v>10</v>
      </c>
      <c r="DZ18" s="16">
        <v>2</v>
      </c>
      <c r="EA18" s="16">
        <v>2</v>
      </c>
      <c r="EB18" s="17" t="str">
        <f>EC18/ED18</f>
        <v>0.21428571428571427</v>
      </c>
      <c r="EC18" s="16">
        <v>9</v>
      </c>
      <c r="ED18" s="16">
        <v>42</v>
      </c>
      <c r="EE18" s="17" t="str">
        <f>EF18/EG18</f>
        <v>0.25</v>
      </c>
      <c r="EF18" s="16">
        <v>1</v>
      </c>
      <c r="EG18" s="16">
        <v>4</v>
      </c>
      <c r="EH18" s="16">
        <v>42</v>
      </c>
      <c r="EI18" s="16">
        <v>42</v>
      </c>
      <c r="EJ18" s="16">
        <v>4</v>
      </c>
      <c r="EK18" s="16">
        <v>4</v>
      </c>
      <c r="EL18" s="17" t="str">
        <f>EM18/EN18</f>
        <v>0.2951219512195122</v>
      </c>
      <c r="EM18" s="16">
        <v>121</v>
      </c>
      <c r="EN18" s="16">
        <v>410</v>
      </c>
      <c r="EO18" s="17" t="str">
        <f>EP18/EQ18</f>
        <v>0.3125</v>
      </c>
      <c r="EP18" s="16">
        <v>10</v>
      </c>
      <c r="EQ18" s="16">
        <v>32</v>
      </c>
      <c r="ER18" s="16">
        <v>410</v>
      </c>
      <c r="ES18" s="16">
        <v>410</v>
      </c>
      <c r="ET18" s="16">
        <v>32</v>
      </c>
      <c r="EU18" s="16">
        <v>32</v>
      </c>
    </row>
    <row r="20">
      <c r="A20" s="3" t="s">
        <v>185</v>
      </c>
    </row>
    <row r="21">
      <c r="A21" s="3" t="s">
        <v>186</v>
      </c>
    </row>
    <row r="22">
      <c r="A22" s="3" t="s">
        <v>187</v>
      </c>
    </row>
    <row r="23">
      <c r="A23" s="3" t="s">
        <v>188</v>
      </c>
    </row>
    <row r="24">
      <c r="A24" s="3" t="s">
        <v>189</v>
      </c>
    </row>
  </sheetData>
</worksheet>
</file>

<file path=xl/worksheets/sheet2.xml><?xml version="1.0" encoding="utf-8"?>
<worksheet xmlns="http://schemas.openxmlformats.org/spreadsheetml/2006/main">
  <dimension ref="A1"/>
  <sheetViews>
    <sheetView workbookViewId="0"/>
  </sheetViews>
  <cols>
    <col customWidth="true" max="1" min="1" width="24"/>
    <col customWidth="true" max="15" min="2" width="14"/>
  </cols>
  <sheetData>
    <row r="1">
      <c r="A1" s="1" t="s">
        <v>192</v>
      </c>
    </row>
    <row r="3">
      <c r="A3" s="8" t="s">
        <v>193</v>
      </c>
    </row>
    <row r="4">
      <c r="A4" s="3" t="s">
        <v>194</v>
      </c>
    </row>
    <row r="5">
      <c r="A5" s="4" t="s">
        <v>3</v>
      </c>
      <c r="B5" s="4" t="s">
        <v>4</v>
      </c>
      <c r="C5" s="4" t="s">
        <v>19</v>
      </c>
      <c r="D5" s="4" t="s">
        <v>30</v>
      </c>
      <c r="E5" s="4" t="s">
        <v>41</v>
      </c>
      <c r="F5" s="4" t="s">
        <v>52</v>
      </c>
      <c r="G5" s="4" t="s">
        <v>63</v>
      </c>
      <c r="H5" s="4" t="s">
        <v>74</v>
      </c>
      <c r="I5" s="4" t="s">
        <v>85</v>
      </c>
      <c r="J5" s="4" t="s">
        <v>96</v>
      </c>
      <c r="K5" s="4" t="s">
        <v>107</v>
      </c>
      <c r="L5" s="4" t="s">
        <v>118</v>
      </c>
      <c r="M5" s="4" t="s">
        <v>129</v>
      </c>
      <c r="N5" s="4" t="s">
        <v>140</v>
      </c>
      <c r="O5" s="4" t="s">
        <v>151</v>
      </c>
    </row>
    <row r="6">
      <c r="A6" s="5" t="s">
        <v>173</v>
      </c>
      <c r="B6" s="10" t="str">
        <f>'통계표'!$B$8</f>
        <v>0.3565217391304348</v>
      </c>
      <c r="C6" s="10" t="str">
        <f>'통계표'!$L$8</f>
        <v>0.5</v>
      </c>
      <c r="E6" s="10" t="str">
        <f>'통계표'!$AF$8</f>
        <v>0</v>
      </c>
      <c r="F6" s="10" t="str">
        <f>'통계표'!$AP$8</f>
        <v>0.3333333333333333</v>
      </c>
      <c r="G6" s="10" t="str">
        <f>'통계표'!$AZ$8</f>
        <v>1</v>
      </c>
      <c r="I6" s="10" t="str">
        <f>'통계표'!$BT$8</f>
        <v>0</v>
      </c>
      <c r="K6" s="10" t="str">
        <f>'통계표'!$CN$8</f>
        <v>1</v>
      </c>
      <c r="L6" s="10" t="str">
        <f>'통계표'!$CX$8</f>
        <v>0.3333333333333333</v>
      </c>
      <c r="O6" s="10" t="str">
        <f>'통계표'!$EB$8</f>
        <v>0</v>
      </c>
    </row>
    <row r="7">
      <c r="A7" s="5" t="s">
        <v>175</v>
      </c>
      <c r="B7" s="10" t="str">
        <f>'통계표'!$B$9</f>
        <v>0.125</v>
      </c>
      <c r="C7" s="10" t="str">
        <f>'통계표'!$L$9</f>
        <v>0.5833333333333334</v>
      </c>
      <c r="D7" s="10" t="str">
        <f>'통계표'!$V$9</f>
        <v>0.3333333333333333</v>
      </c>
      <c r="E7" s="10" t="str">
        <f>'통계표'!$AF$9</f>
        <v>0.2</v>
      </c>
      <c r="F7" s="10" t="str">
        <f>'통계표'!$AP$9</f>
        <v>0.4</v>
      </c>
      <c r="G7" s="10" t="str">
        <f>'통계표'!$AZ$9</f>
        <v>0</v>
      </c>
      <c r="H7" s="10" t="str">
        <f>'통계표'!$BJ$9</f>
        <v>0</v>
      </c>
      <c r="I7" s="10" t="str">
        <f>'통계표'!$BT$9</f>
        <v>0.3333333333333333</v>
      </c>
      <c r="J7" s="10" t="str">
        <f>'통계표'!$CD$9</f>
        <v>0</v>
      </c>
      <c r="K7" s="10" t="str">
        <f>'통계표'!$CN$9</f>
        <v>0.3333333333333333</v>
      </c>
      <c r="L7" s="10" t="str">
        <f>'통계표'!$CX$9</f>
        <v>0</v>
      </c>
      <c r="M7" s="10" t="str">
        <f>'통계표'!$DH$9</f>
        <v>0.3333333333333333</v>
      </c>
      <c r="N7" s="10" t="str">
        <f>'통계표'!$DR$9</f>
        <v>0</v>
      </c>
      <c r="O7" s="10" t="str">
        <f>'통계표'!$EB$9</f>
        <v>0.25</v>
      </c>
    </row>
    <row r="8">
      <c r="A8" s="5" t="s">
        <v>176</v>
      </c>
      <c r="B8" s="10" t="str">
        <f>'통계표'!$B$10</f>
        <v>0.1111111111111111</v>
      </c>
      <c r="C8" s="10" t="str">
        <f>'통계표'!$L$10</f>
        <v>0.6</v>
      </c>
      <c r="D8" s="10" t="str">
        <f>'통계표'!$V$10</f>
        <v>0.3333333333333333</v>
      </c>
      <c r="E8" s="10" t="str">
        <f>'통계표'!$AF$10</f>
        <v>0.3333333333333333</v>
      </c>
      <c r="F8" s="10" t="str">
        <f>'통계표'!$AP$10</f>
        <v>0.3333333333333333</v>
      </c>
      <c r="G8" s="10" t="str">
        <f>'통계표'!$AZ$10</f>
        <v>0.25</v>
      </c>
      <c r="H8" s="10" t="str">
        <f>'통계표'!$BJ$10</f>
        <v>0</v>
      </c>
      <c r="I8" s="10" t="str">
        <f>'통계표'!$BT$10</f>
        <v>0</v>
      </c>
      <c r="J8" s="10" t="str">
        <f>'통계표'!$CD$10</f>
        <v>0</v>
      </c>
      <c r="K8" s="10" t="str">
        <f>'통계표'!$CN$10</f>
        <v>0</v>
      </c>
      <c r="L8" s="10" t="str">
        <f>'통계표'!$CX$10</f>
        <v>0</v>
      </c>
      <c r="M8" s="10" t="str">
        <f>'통계표'!$DH$10</f>
        <v>0.6666666666666666</v>
      </c>
      <c r="N8" s="10" t="str">
        <f>'통계표'!$DR$10</f>
        <v>0.3333333333333333</v>
      </c>
      <c r="O8" s="10" t="str">
        <f>'통계표'!$EB$10</f>
        <v>0.25</v>
      </c>
    </row>
    <row r="9">
      <c r="A9" s="5" t="s">
        <v>177</v>
      </c>
      <c r="B9" s="10" t="str">
        <f>'통계표'!$B$11</f>
        <v>0.4444444444444444</v>
      </c>
      <c r="C9" s="10" t="str">
        <f>'통계표'!$L$11</f>
        <v>0</v>
      </c>
      <c r="D9" s="10" t="str">
        <f>'통계표'!$V$11</f>
        <v>0</v>
      </c>
      <c r="E9" s="10" t="str">
        <f>'통계표'!$AF$11</f>
        <v>0.5</v>
      </c>
      <c r="F9" s="10" t="str">
        <f>'통계표'!$AP$11</f>
        <v>0.4</v>
      </c>
      <c r="G9" s="10" t="str">
        <f>'통계표'!$AZ$11</f>
        <v>0.25</v>
      </c>
      <c r="H9" s="10" t="str">
        <f>'통계표'!$BJ$11</f>
        <v>0</v>
      </c>
      <c r="I9" s="10" t="str">
        <f>'통계표'!$BT$11</f>
        <v>0</v>
      </c>
      <c r="J9" s="10" t="str">
        <f>'통계표'!$CD$11</f>
        <v>0.2</v>
      </c>
      <c r="K9" s="10" t="str">
        <f>'통계표'!$CN$11</f>
        <v>0</v>
      </c>
      <c r="L9" s="10" t="str">
        <f>'통계표'!$CX$11</f>
        <v>0</v>
      </c>
      <c r="M9" s="10" t="str">
        <f>'통계표'!$DH$11</f>
        <v>0</v>
      </c>
      <c r="N9" s="10" t="str">
        <f>'통계표'!$DR$11</f>
        <v>0.6666666666666666</v>
      </c>
      <c r="O9" s="10" t="str">
        <f>'통계표'!$EB$11</f>
        <v>0.3333333333333333</v>
      </c>
    </row>
    <row r="10">
      <c r="A10" s="5" t="s">
        <v>178</v>
      </c>
      <c r="B10" s="10" t="str">
        <f>'통계표'!$B$12</f>
        <v>0.2857142857142857</v>
      </c>
      <c r="C10" s="10" t="str">
        <f>'통계표'!$L$12</f>
        <v>0</v>
      </c>
      <c r="D10" s="10" t="str">
        <f>'통계표'!$V$12</f>
        <v>0</v>
      </c>
      <c r="E10" s="10" t="str">
        <f>'통계표'!$AF$12</f>
        <v>0</v>
      </c>
      <c r="F10" s="10" t="str">
        <f>'통계표'!$AP$12</f>
        <v>0</v>
      </c>
      <c r="H10" s="10" t="str">
        <f>'통계표'!$BJ$12</f>
        <v>0.3333333333333333</v>
      </c>
      <c r="I10" s="10" t="str">
        <f>'통계표'!$BT$12</f>
        <v>1</v>
      </c>
      <c r="J10" s="10" t="str">
        <f>'통계표'!$CD$12</f>
        <v>0.5</v>
      </c>
      <c r="K10" s="10" t="str">
        <f>'통계표'!$CN$12</f>
        <v>0.5</v>
      </c>
      <c r="L10" s="10" t="str">
        <f>'통계표'!$CX$12</f>
        <v>0.5</v>
      </c>
      <c r="O10" s="10" t="str">
        <f>'통계표'!$EB$12</f>
        <v>0</v>
      </c>
    </row>
    <row r="11">
      <c r="A11" s="5" t="s">
        <v>179</v>
      </c>
      <c r="B11" s="10" t="str">
        <f>'통계표'!$B$13</f>
        <v>0.3333333333333333</v>
      </c>
      <c r="C11" s="10" t="str">
        <f>'통계표'!$L$13</f>
        <v>1</v>
      </c>
      <c r="D11" s="10" t="str">
        <f>'통계표'!$V$13</f>
        <v>0.5</v>
      </c>
      <c r="E11" s="10" t="str">
        <f>'통계표'!$AF$13</f>
        <v>1</v>
      </c>
      <c r="G11" s="10" t="str">
        <f>'통계표'!$AZ$13</f>
        <v>0</v>
      </c>
      <c r="I11" s="10" t="str">
        <f>'통계표'!$BT$13</f>
        <v>0.3333333333333333</v>
      </c>
      <c r="K11" s="10" t="str">
        <f>'통계표'!$CN$13</f>
        <v>0</v>
      </c>
      <c r="O11" s="10" t="str">
        <f>'통계표'!$EB$13</f>
        <v>0.16666666666666666</v>
      </c>
    </row>
    <row r="12">
      <c r="A12" s="5" t="s">
        <v>180</v>
      </c>
      <c r="B12" s="10" t="str">
        <f>'통계표'!$B$14</f>
        <v>0</v>
      </c>
      <c r="C12" s="10" t="str">
        <f>'통계표'!$L$14</f>
        <v>0.3333333333333333</v>
      </c>
      <c r="D12" s="10" t="str">
        <f>'통계표'!$V$14</f>
        <v>0</v>
      </c>
      <c r="E12" s="10" t="str">
        <f>'통계표'!$AF$14</f>
        <v>0</v>
      </c>
      <c r="G12" s="10" t="str">
        <f>'통계표'!$AZ$14</f>
        <v>1</v>
      </c>
      <c r="H12" s="10" t="str">
        <f>'통계표'!$BJ$14</f>
        <v>0</v>
      </c>
      <c r="I12" s="10" t="str">
        <f>'통계표'!$BT$14</f>
        <v>0</v>
      </c>
      <c r="K12" s="10" t="str">
        <f>'통계표'!$CN$14</f>
        <v>0</v>
      </c>
      <c r="L12" s="10" t="str">
        <f>'통계표'!$CX$14</f>
        <v>0</v>
      </c>
      <c r="M12" s="10" t="str">
        <f>'통계표'!$DH$14</f>
        <v>0</v>
      </c>
      <c r="O12" s="10" t="str">
        <f>'통계표'!$EB$14</f>
        <v>0.3333333333333333</v>
      </c>
    </row>
    <row r="13">
      <c r="A13" s="5" t="s">
        <v>181</v>
      </c>
      <c r="B13" s="10" t="str">
        <f>'통계표'!$B$15</f>
        <v>0.5</v>
      </c>
      <c r="D13" s="10" t="str">
        <f>'통계표'!$V$15</f>
        <v>0</v>
      </c>
      <c r="E13" s="10" t="str">
        <f>'통계표'!$AF$15</f>
        <v>0.6666666666666666</v>
      </c>
      <c r="H13" s="10" t="str">
        <f>'통계표'!$BJ$15</f>
        <v>0</v>
      </c>
      <c r="J13" s="10" t="str">
        <f>'통계표'!$CD$15</f>
        <v>0</v>
      </c>
      <c r="K13" s="10" t="str">
        <f>'통계표'!$CN$15</f>
        <v>0</v>
      </c>
      <c r="L13" s="10" t="str">
        <f>'통계표'!$CX$15</f>
        <v>1</v>
      </c>
      <c r="M13" s="10" t="str">
        <f>'통계표'!$DH$15</f>
        <v>0</v>
      </c>
      <c r="N13" s="10" t="str">
        <f>'통계표'!$DR$15</f>
        <v>0.5</v>
      </c>
      <c r="O13" s="10" t="str">
        <f>'통계표'!$EB$15</f>
        <v>0</v>
      </c>
    </row>
    <row r="14">
      <c r="A14" s="5" t="s">
        <v>182</v>
      </c>
      <c r="B14" s="10" t="str">
        <f>'통계표'!$B$16</f>
        <v>1</v>
      </c>
      <c r="C14" s="10" t="str">
        <f>'통계표'!$L$16</f>
        <v>0</v>
      </c>
      <c r="D14" s="10" t="str">
        <f>'통계표'!$V$16</f>
        <v>0</v>
      </c>
      <c r="G14" s="10" t="str">
        <f>'통계표'!$AZ$16</f>
        <v>1</v>
      </c>
      <c r="H14" s="10" t="str">
        <f>'통계표'!$BJ$16</f>
        <v>0</v>
      </c>
      <c r="I14" s="10" t="str">
        <f>'통계표'!$BT$16</f>
        <v>0.6666666666666666</v>
      </c>
      <c r="J14" s="10" t="str">
        <f>'통계표'!$CD$16</f>
        <v>0</v>
      </c>
      <c r="L14" s="10" t="str">
        <f>'통계표'!$CX$16</f>
        <v>0</v>
      </c>
      <c r="M14" s="10" t="str">
        <f>'통계표'!$DH$16</f>
        <v>0</v>
      </c>
      <c r="N14" s="10" t="str">
        <f>'통계표'!$DR$16</f>
        <v>0</v>
      </c>
      <c r="O14" s="10" t="str">
        <f>'통계표'!$EB$16</f>
        <v>0</v>
      </c>
    </row>
    <row r="15">
      <c r="A15" s="5" t="s">
        <v>183</v>
      </c>
      <c r="B15" s="10" t="str">
        <f>'통계표'!$B$17</f>
        <v>1</v>
      </c>
      <c r="C15" s="10" t="str">
        <f>'통계표'!$L$17</f>
        <v>0.5</v>
      </c>
      <c r="D15" s="10" t="str">
        <f>'통계표'!$V$17</f>
        <v>0</v>
      </c>
      <c r="E15" s="10" t="str">
        <f>'통계표'!$AF$17</f>
        <v>0</v>
      </c>
      <c r="F15" s="10" t="str">
        <f>'통계표'!$AP$17</f>
        <v>0</v>
      </c>
      <c r="H15" s="10" t="str">
        <f>'통계표'!$BJ$17</f>
        <v>0</v>
      </c>
      <c r="J15" s="10" t="str">
        <f>'통계표'!$CD$17</f>
        <v>0.5</v>
      </c>
      <c r="K15" s="10" t="str">
        <f>'통계표'!$CN$17</f>
        <v>0</v>
      </c>
      <c r="O15" s="10" t="str">
        <f>'통계표'!$EB$17</f>
        <v>0.5</v>
      </c>
    </row>
    <row r="18">
      <c r="A18" s="8" t="s">
        <v>195</v>
      </c>
    </row>
    <row r="19">
      <c r="A19" s="3" t="s">
        <v>194</v>
      </c>
    </row>
    <row r="20">
      <c r="A20" s="4" t="s">
        <v>3</v>
      </c>
      <c r="B20" s="4" t="s">
        <v>4</v>
      </c>
      <c r="C20" s="4" t="s">
        <v>19</v>
      </c>
      <c r="D20" s="4" t="s">
        <v>30</v>
      </c>
      <c r="E20" s="4" t="s">
        <v>41</v>
      </c>
      <c r="F20" s="4" t="s">
        <v>52</v>
      </c>
      <c r="G20" s="4" t="s">
        <v>63</v>
      </c>
      <c r="H20" s="4" t="s">
        <v>74</v>
      </c>
      <c r="I20" s="4" t="s">
        <v>85</v>
      </c>
      <c r="J20" s="4" t="s">
        <v>96</v>
      </c>
      <c r="K20" s="4" t="s">
        <v>107</v>
      </c>
      <c r="L20" s="4" t="s">
        <v>118</v>
      </c>
      <c r="M20" s="4" t="s">
        <v>129</v>
      </c>
      <c r="N20" s="4" t="s">
        <v>140</v>
      </c>
      <c r="O20" s="4" t="s">
        <v>151</v>
      </c>
    </row>
    <row r="21">
      <c r="A21" s="5" t="s">
        <v>173</v>
      </c>
    </row>
    <row r="22">
      <c r="A22" s="5" t="s">
        <v>175</v>
      </c>
      <c r="B22" s="10" t="str">
        <f>'통계표'!$E$9</f>
        <v>0</v>
      </c>
      <c r="C22" s="10" t="str">
        <f>'통계표'!$O$9</f>
        <v>1</v>
      </c>
      <c r="D22" s="10" t="str">
        <f>'통계표'!$Y$9</f>
        <v>0</v>
      </c>
      <c r="E22" s="10" t="str">
        <f>'통계표'!$AI$9</f>
        <v>0</v>
      </c>
      <c r="F22" s="10" t="str">
        <f>'통계표'!$AS$9</f>
        <v>0.5</v>
      </c>
      <c r="J22" s="10" t="str">
        <f>'통계표'!$CG$9</f>
        <v>0</v>
      </c>
      <c r="L22" s="10" t="str">
        <f>'통계표'!$DA$9</f>
        <v>0</v>
      </c>
      <c r="M22" s="10" t="str">
        <f>'통계표'!$DK$9</f>
        <v>0</v>
      </c>
    </row>
    <row r="23">
      <c r="A23" s="5" t="s">
        <v>176</v>
      </c>
      <c r="B23" s="10" t="str">
        <f>'통계표'!$E$10</f>
        <v>0</v>
      </c>
      <c r="D23" s="10" t="str">
        <f>'통계표'!$Y$10</f>
        <v>0.5</v>
      </c>
      <c r="E23" s="10" t="str">
        <f>'통계표'!$AI$10</f>
        <v>1</v>
      </c>
      <c r="G23" s="10" t="str">
        <f>'통계표'!$BC$10</f>
        <v>0</v>
      </c>
      <c r="H23" s="10" t="str">
        <f>'통계표'!$BM$10</f>
        <v>0</v>
      </c>
      <c r="I23" s="10" t="str">
        <f>'통계표'!$BW$10</f>
        <v>0</v>
      </c>
      <c r="J23" s="10" t="str">
        <f>'통계표'!$CG$10</f>
        <v>0</v>
      </c>
      <c r="M23" s="10" t="str">
        <f>'통계표'!$DK$10</f>
        <v>1</v>
      </c>
      <c r="N23" s="10" t="str">
        <f>'통계표'!$DU$10</f>
        <v>1</v>
      </c>
      <c r="O23" s="10" t="str">
        <f>'통계표'!$EE$10</f>
        <v>0.5</v>
      </c>
    </row>
    <row r="24">
      <c r="A24" s="5" t="s">
        <v>177</v>
      </c>
      <c r="C24" s="10" t="str">
        <f>'통계표'!$O$11</f>
        <v>0</v>
      </c>
      <c r="F24" s="10" t="str">
        <f>'통계표'!$AS$11</f>
        <v>0.5</v>
      </c>
      <c r="H24" s="10" t="str">
        <f>'통계표'!$BM$11</f>
        <v>0</v>
      </c>
      <c r="J24" s="10" t="str">
        <f>'통계표'!$CG$11</f>
        <v>0</v>
      </c>
      <c r="K24" s="10" t="str">
        <f>'통계표'!$CQ$11</f>
        <v>0</v>
      </c>
      <c r="N24" s="10" t="str">
        <f>'통계표'!$DU$11</f>
        <v>1</v>
      </c>
      <c r="O24" s="10" t="str">
        <f>'통계표'!$EE$11</f>
        <v>0</v>
      </c>
    </row>
    <row r="25">
      <c r="A25" s="5" t="s">
        <v>178</v>
      </c>
    </row>
    <row r="26">
      <c r="A26" s="5" t="s">
        <v>179</v>
      </c>
    </row>
    <row r="27">
      <c r="A27" s="5" t="s">
        <v>180</v>
      </c>
    </row>
    <row r="28">
      <c r="A28" s="5" t="s">
        <v>181</v>
      </c>
    </row>
    <row r="29">
      <c r="A29" s="5" t="s">
        <v>182</v>
      </c>
      <c r="B29" s="10" t="str">
        <f>'통계표'!$E$16</f>
        <v>1</v>
      </c>
    </row>
    <row r="30">
      <c r="A30" s="5" t="s">
        <v>183</v>
      </c>
    </row>
  </sheetData>
  <conditionalFormatting sqref="B6:O15">
    <cfRule type="colorScale" priority="1">
      <colorScale>
        <cfvo type="num" val="0"/>
        <cfvo type="num" val="1"/>
        <color rgb="FFDBEAFE"/>
        <color rgb="FF1D4ED8"/>
      </colorScale>
    </cfRule>
  </conditionalFormatting>
  <conditionalFormatting sqref="B21:O30">
    <cfRule type="colorScale" priority="2">
      <colorScale>
        <cfvo type="num" val="0"/>
        <cfvo type="num" val="1"/>
        <color rgb="FFDBEAFE"/>
        <color rgb="FF1D4ED8"/>
      </colorScale>
    </cfRule>
  </conditionalFormatting>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190</v>
      </c>
    </row>
    <row r="2">
      <c r="A2" s="3" t="s">
        <v>191</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196</v>
      </c>
    </row>
    <row r="3">
      <c r="A3" s="8" t="s">
        <v>197</v>
      </c>
      <c r="B3" s="2" t="s">
        <v>198</v>
      </c>
    </row>
    <row r="4">
      <c r="A4" s="8" t="s">
        <v>199</v>
      </c>
      <c r="B4" s="2" t="s">
        <v>200</v>
      </c>
    </row>
    <row r="5">
      <c r="A5" s="8" t="s">
        <v>201</v>
      </c>
      <c r="B5" s="2" t="s">
        <v>202</v>
      </c>
    </row>
    <row r="6">
      <c r="A6" s="8" t="s">
        <v>203</v>
      </c>
      <c r="B6" s="2" t="s">
        <v>204</v>
      </c>
    </row>
    <row r="7">
      <c r="A7" s="8" t="s">
        <v>205</v>
      </c>
      <c r="B7" s="2" t="s">
        <v>206</v>
      </c>
    </row>
    <row r="8">
      <c r="A8" s="8" t="s">
        <v>207</v>
      </c>
      <c r="B8" s="2" t="s">
        <v>208</v>
      </c>
    </row>
    <row r="9">
      <c r="A9" s="8" t="s">
        <v>209</v>
      </c>
      <c r="B9" s="2" t="s">
        <v>3</v>
      </c>
    </row>
    <row r="10">
      <c r="A10" s="8" t="s">
        <v>210</v>
      </c>
      <c r="B10" s="2" t="s">
        <v>211</v>
      </c>
    </row>
    <row r="11">
      <c r="A11" s="8" t="s">
        <v>212</v>
      </c>
      <c r="B11" s="2" t="s">
        <v>213</v>
      </c>
    </row>
    <row r="12">
      <c r="A12" s="8" t="s">
        <v>214</v>
      </c>
      <c r="B12" s="2" t="s">
        <v>215</v>
      </c>
    </row>
    <row r="13">
      <c r="A13" s="8" t="s">
        <v>216</v>
      </c>
      <c r="B13" s="2" t="s">
        <v>217</v>
      </c>
    </row>
    <row r="14">
      <c r="A14" s="8" t="s">
        <v>218</v>
      </c>
      <c r="B14" s="2" t="s">
        <v>219</v>
      </c>
    </row>
    <row r="15">
      <c r="A15" s="8" t="s">
        <v>220</v>
      </c>
      <c r="B15" s="2" t="s">
        <v>221</v>
      </c>
    </row>
    <row r="16">
      <c r="A16" s="8" t="s">
        <v>222</v>
      </c>
      <c r="B16" s="2" t="s">
        <v>223</v>
      </c>
    </row>
    <row r="17">
      <c r="A17" s="8" t="s">
        <v>224</v>
      </c>
      <c r="B17" s="2" t="s">
        <v>225</v>
      </c>
    </row>
    <row r="18">
      <c r="A18" s="8" t="s">
        <v>226</v>
      </c>
      <c r="B18" s="2" t="s">
        <v>227</v>
      </c>
    </row>
    <row r="19">
      <c r="A19" s="8" t="s">
        <v>228</v>
      </c>
      <c r="B19" s="2" t="s">
        <v>229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맞춤 통계 · 기관 × 위반법규 · 과태료처분율, 답변 건수</dc:title>
  <dc:creator>커뮤니티 신고 지도</dc:creator>
  <lastModifiedBy/>
  <dcterms:created xsi:type="dcterms:W3CDTF">2026-09-29T09:45:27.355Z</dcterms:created>
  <dcterms:modified xsi:type="dcterms:W3CDTF">2026-09-29T09:45:27.355Z</dcterms:modified>
</coreProperties>
</file>